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66925"/>
  <mc:AlternateContent xmlns:mc="http://schemas.openxmlformats.org/markup-compatibility/2006">
    <mc:Choice Requires="x15">
      <x15ac:absPath xmlns:x15ac="http://schemas.microsoft.com/office/spreadsheetml/2010/11/ac" url="C:\Repos\smt-ddx-client-site\robot-framework-tests\env\"/>
    </mc:Choice>
  </mc:AlternateContent>
  <xr:revisionPtr revIDLastSave="0" documentId="13_ncr:1_{B3735C09-273E-47A3-9C41-B9980FA5F39A}" xr6:coauthVersionLast="47" xr6:coauthVersionMax="47" xr10:uidLastSave="{00000000-0000-0000-0000-000000000000}"/>
  <bookViews>
    <workbookView xWindow="-96" yWindow="-96" windowWidth="23232" windowHeight="13872" xr2:uid="{00000000-000D-0000-FFFF-FFFF00000000}"/>
  </bookViews>
  <sheets>
    <sheet name="US" sheetId="13" r:id="rId1"/>
    <sheet name="CA" sheetId="14" r:id="rId2"/>
    <sheet name="UK" sheetId="15" r:id="rId3"/>
    <sheet name="IE" sheetId="16" r:id="rId4"/>
    <sheet name="AU" sheetId="17" r:id="rId5"/>
    <sheet name="CA FR - May Not Be Using" sheetId="9" r:id="rId6"/>
    <sheet name="Guide" sheetId="2"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3" i="17" l="1"/>
  <c r="F13" i="17" s="1"/>
  <c r="E12" i="17"/>
  <c r="F12" i="17" s="1"/>
  <c r="E11" i="17"/>
  <c r="F11" i="17" s="1"/>
  <c r="E10" i="17"/>
  <c r="F10" i="17" s="1"/>
  <c r="E9" i="17"/>
  <c r="F9" i="17" s="1"/>
  <c r="E8" i="17"/>
  <c r="F8" i="17" s="1"/>
  <c r="E7" i="17"/>
  <c r="F7" i="17" s="1"/>
  <c r="E6" i="17"/>
  <c r="F6" i="17" s="1"/>
  <c r="E5" i="17"/>
  <c r="F5" i="17" s="1"/>
  <c r="E4" i="17"/>
  <c r="F4" i="17" s="1"/>
  <c r="E3" i="17"/>
  <c r="F3" i="17" s="1"/>
  <c r="C26" i="16"/>
  <c r="E10" i="16"/>
  <c r="F10" i="16" s="1"/>
  <c r="E9" i="16"/>
  <c r="F9" i="16" s="1"/>
  <c r="E8" i="16"/>
  <c r="F8" i="16" s="1"/>
  <c r="E7" i="16"/>
  <c r="F7" i="16" s="1"/>
  <c r="E6" i="16"/>
  <c r="F6" i="16" s="1"/>
  <c r="E5" i="16"/>
  <c r="F5" i="16" s="1"/>
  <c r="E4" i="16"/>
  <c r="F4" i="16" s="1"/>
  <c r="E3" i="16"/>
  <c r="F3" i="16" s="1"/>
  <c r="E13" i="15"/>
  <c r="F13" i="15" s="1"/>
  <c r="E12" i="15"/>
  <c r="F12" i="15" s="1"/>
  <c r="E11" i="15"/>
  <c r="F11" i="15" s="1"/>
  <c r="E10" i="15"/>
  <c r="F10" i="15" s="1"/>
  <c r="E9" i="15"/>
  <c r="F9" i="15" s="1"/>
  <c r="E8" i="15"/>
  <c r="F8" i="15" s="1"/>
  <c r="E7" i="15"/>
  <c r="F7" i="15" s="1"/>
  <c r="E6" i="15"/>
  <c r="F6" i="15" s="1"/>
  <c r="E5" i="15"/>
  <c r="F5" i="15" s="1"/>
  <c r="E4" i="15"/>
  <c r="F4" i="15" s="1"/>
  <c r="E3" i="15"/>
  <c r="F3" i="15" s="1"/>
  <c r="C36" i="14"/>
  <c r="E14" i="14"/>
  <c r="F14" i="14" s="1"/>
  <c r="E13" i="14"/>
  <c r="F13" i="14" s="1"/>
  <c r="E12" i="14"/>
  <c r="F12" i="14" s="1"/>
  <c r="E11" i="14"/>
  <c r="F11" i="14" s="1"/>
  <c r="E10" i="14"/>
  <c r="F10" i="14" s="1"/>
  <c r="E9" i="14"/>
  <c r="F9" i="14" s="1"/>
  <c r="E8" i="14"/>
  <c r="F8" i="14" s="1"/>
  <c r="E7" i="14"/>
  <c r="F7" i="14" s="1"/>
  <c r="E6" i="14"/>
  <c r="F6" i="14" s="1"/>
  <c r="E5" i="14"/>
  <c r="F5" i="14" s="1"/>
  <c r="E4" i="14"/>
  <c r="F4" i="14" s="1"/>
  <c r="E3" i="14"/>
  <c r="F3" i="14" s="1"/>
  <c r="E17" i="13"/>
  <c r="F17" i="13" s="1"/>
  <c r="E16" i="13"/>
  <c r="F16" i="13" s="1"/>
  <c r="E15" i="13"/>
  <c r="F15" i="13" s="1"/>
  <c r="E14" i="13"/>
  <c r="F14" i="13" s="1"/>
  <c r="E13" i="13"/>
  <c r="F13" i="13" s="1"/>
  <c r="E12" i="13"/>
  <c r="F12" i="13" s="1"/>
  <c r="E11" i="13"/>
  <c r="F11" i="13" s="1"/>
  <c r="E10" i="13"/>
  <c r="F10" i="13" s="1"/>
  <c r="E9" i="13"/>
  <c r="F9" i="13" s="1"/>
  <c r="E8" i="13"/>
  <c r="F8" i="13" s="1"/>
  <c r="E7" i="13"/>
  <c r="F7" i="13" s="1"/>
  <c r="E6" i="13"/>
  <c r="F6" i="13" s="1"/>
  <c r="E5" i="13"/>
  <c r="F5" i="13" s="1"/>
  <c r="E4" i="13"/>
  <c r="F4" i="13" s="1"/>
  <c r="E3" i="13"/>
  <c r="F3" i="13" s="1"/>
  <c r="E20" i="9"/>
  <c r="E3" i="9"/>
  <c r="E4" i="9"/>
  <c r="E5" i="9"/>
  <c r="E6" i="9"/>
  <c r="E7" i="9"/>
  <c r="E8" i="9"/>
  <c r="E9" i="9"/>
  <c r="E10" i="9"/>
  <c r="E11" i="9"/>
  <c r="E12" i="9"/>
  <c r="E13" i="9"/>
  <c r="E14" i="9"/>
  <c r="E15" i="9"/>
  <c r="E16" i="9"/>
  <c r="E17" i="9"/>
  <c r="E18" i="9"/>
  <c r="E19" i="9"/>
</calcChain>
</file>

<file path=xl/sharedStrings.xml><?xml version="1.0" encoding="utf-8"?>
<sst xmlns="http://schemas.openxmlformats.org/spreadsheetml/2006/main" count="1650" uniqueCount="308">
  <si>
    <t xml:space="preserve">US </t>
  </si>
  <si>
    <t>Region</t>
  </si>
  <si>
    <t>Portfolio Name</t>
  </si>
  <si>
    <t>Identifier</t>
  </si>
  <si>
    <t>Asset Class</t>
  </si>
  <si>
    <t># of docs public</t>
  </si>
  <si>
    <t># of docs client</t>
  </si>
  <si>
    <t>Annual Report</t>
  </si>
  <si>
    <t>Distributions</t>
  </si>
  <si>
    <t>Fact Sheet</t>
  </si>
  <si>
    <t>Fund Information Announcement</t>
  </si>
  <si>
    <t>Monthly Holdings</t>
  </si>
  <si>
    <t>NAVs</t>
  </si>
  <si>
    <t>Performance Commentary</t>
  </si>
  <si>
    <t>Prospectus</t>
  </si>
  <si>
    <t>Q1 Holdings</t>
  </si>
  <si>
    <t>Q2 Holdings</t>
  </si>
  <si>
    <t>Q3 Holdings</t>
  </si>
  <si>
    <t>Q4 Holdings</t>
  </si>
  <si>
    <t>SAI</t>
  </si>
  <si>
    <t>Special Distribution Announcement</t>
  </si>
  <si>
    <t>Summary Prospectus</t>
  </si>
  <si>
    <t>Sustainability Considerations</t>
  </si>
  <si>
    <t>Sustainability Report</t>
  </si>
  <si>
    <t>Tax Sheet</t>
  </si>
  <si>
    <t xml:space="preserve">Emerging Markets Portfolio (I) </t>
  </si>
  <si>
    <t>DFEMX</t>
  </si>
  <si>
    <t>Equity</t>
  </si>
  <si>
    <t>Yes</t>
  </si>
  <si>
    <t>Client</t>
  </si>
  <si>
    <t>DFIEX</t>
  </si>
  <si>
    <t>Calif. Intermediate-Term Muni Bond Portfolio</t>
  </si>
  <si>
    <t>DCIBX</t>
  </si>
  <si>
    <t>Fixed Income</t>
  </si>
  <si>
    <t>Global Sustainability Fixed Income Portfolio</t>
  </si>
  <si>
    <t>DGSFX</t>
  </si>
  <si>
    <t>Intermediate-Term Muni Bond Portfolio</t>
  </si>
  <si>
    <t>DFTIX</t>
  </si>
  <si>
    <t>Global Real Estate Securities Portfolio</t>
  </si>
  <si>
    <t>DFGEX</t>
  </si>
  <si>
    <t>Real Estate</t>
  </si>
  <si>
    <t>International Real Estate Securities Portfolio (I)</t>
  </si>
  <si>
    <t>DFITX</t>
  </si>
  <si>
    <t>Real Estate Securities Portfolio (I)</t>
  </si>
  <si>
    <t>DFREX</t>
  </si>
  <si>
    <t>Global Allocation 25/75 Portfolio (I)</t>
  </si>
  <si>
    <t>DGTSX</t>
  </si>
  <si>
    <t>Global Allocation</t>
  </si>
  <si>
    <t>VA Global Moderate Allocation Portfolio</t>
  </si>
  <si>
    <t>25239Y584</t>
  </si>
  <si>
    <t>Target Date</t>
  </si>
  <si>
    <t>Dimensional 2035 Target Date Retirement Income Fund</t>
  </si>
  <si>
    <t>DRIGX</t>
  </si>
  <si>
    <t>Commodity Strategy Portfolio</t>
  </si>
  <si>
    <t>DCMSX</t>
  </si>
  <si>
    <t>Commodities</t>
  </si>
  <si>
    <t>Emerging Core Equity Market ETF</t>
  </si>
  <si>
    <t>DFAE</t>
  </si>
  <si>
    <t>ETF</t>
  </si>
  <si>
    <t xml:space="preserve">US Targeted Value ETF </t>
  </si>
  <si>
    <t>DFAT</t>
  </si>
  <si>
    <t>US Core Equity 2 ETF</t>
  </si>
  <si>
    <t>DFAC</t>
  </si>
  <si>
    <t>CA</t>
  </si>
  <si>
    <t>Annual Information Form</t>
  </si>
  <si>
    <t>Annual Management Report of Fund Performance</t>
  </si>
  <si>
    <t>Distribution Characteristics</t>
  </si>
  <si>
    <t>Fund Facts</t>
  </si>
  <si>
    <t>IRS Form 8937</t>
  </si>
  <si>
    <t>PFIC Annual Information Statement</t>
  </si>
  <si>
    <t>Semiannual Management Report of Fund Performance</t>
  </si>
  <si>
    <t>Summary of Investment Portfolio</t>
  </si>
  <si>
    <t>Canadian Core Equity Fund (A)</t>
  </si>
  <si>
    <t>DFA255</t>
  </si>
  <si>
    <t>US Core Equity Fund A(H)</t>
  </si>
  <si>
    <t>DFA444</t>
  </si>
  <si>
    <t>World Equity Portfolio (I)</t>
  </si>
  <si>
    <t>DFA923</t>
  </si>
  <si>
    <t>Five-Year Global Fixed Income Fund (A)</t>
  </si>
  <si>
    <t>DFA230</t>
  </si>
  <si>
    <t>Global Fixed Income Portfolio (I)</t>
  </si>
  <si>
    <t>DFA917</t>
  </si>
  <si>
    <t>Global Targeted Credit Fund (F)</t>
  </si>
  <si>
    <t>DFA857</t>
  </si>
  <si>
    <t>Global Real Estate Securities Fund (A)</t>
  </si>
  <si>
    <t>DFA390</t>
  </si>
  <si>
    <t>Global Real Estate Securities Fund (F)</t>
  </si>
  <si>
    <t>DFA391</t>
  </si>
  <si>
    <t>Global Real Estate Securities Fund (I)</t>
  </si>
  <si>
    <t>DFA392</t>
  </si>
  <si>
    <t>Global 40EQ-60FI Portfolio (F)</t>
  </si>
  <si>
    <t>DFA603</t>
  </si>
  <si>
    <t>Global 70EQ-30FI Portfolio (A)</t>
  </si>
  <si>
    <t>DFA834</t>
  </si>
  <si>
    <t>Global 80EQ-20FI Portfolio (I)</t>
  </si>
  <si>
    <t>DFA699</t>
  </si>
  <si>
    <t>UK</t>
  </si>
  <si>
    <t>Annual Report &amp; Accounts (December)</t>
  </si>
  <si>
    <t>Annual Report &amp; Accounts (November)</t>
  </si>
  <si>
    <t>Constitutional Document</t>
  </si>
  <si>
    <t>Holdings</t>
  </si>
  <si>
    <t>Interim Report &amp; Accounts (June)</t>
  </si>
  <si>
    <t>Interim Report &amp; Accounts (May)</t>
  </si>
  <si>
    <t>UCITS KIID - English</t>
  </si>
  <si>
    <t>PRIIPs KID - English</t>
  </si>
  <si>
    <t>PRIIPs KID - German</t>
  </si>
  <si>
    <t>PRIIPs KID - Norwegian Bokmål</t>
  </si>
  <si>
    <t>PRIIPs KID - Dutch</t>
  </si>
  <si>
    <t>PRIIPs KID - Swedish</t>
  </si>
  <si>
    <t>PRIIPs KID - Italian</t>
  </si>
  <si>
    <t>Prospectus with Country Supplements</t>
  </si>
  <si>
    <t>UK Statement of Reportable Income</t>
  </si>
  <si>
    <t>Emerging Markets Core Equity Fund (EUR, Acc.)</t>
  </si>
  <si>
    <t>GB00BR4R5551</t>
  </si>
  <si>
    <t>Emerging Markets Core Equity Fund (GBP, Acc.)</t>
  </si>
  <si>
    <t>GB0033772624</t>
  </si>
  <si>
    <t>International Core Equity Fund (GBP, Acc.)</t>
  </si>
  <si>
    <t>GB00B23YLH62</t>
  </si>
  <si>
    <t>International Value Fund (GBP, Acc.)</t>
  </si>
  <si>
    <t>GB0033772285</t>
  </si>
  <si>
    <t>UK Small Companies Fund (GBP, Acc.)</t>
  </si>
  <si>
    <t>GB0033771980</t>
  </si>
  <si>
    <t>Global Short-Dated Bond Fund (GBP, Inc.)</t>
  </si>
  <si>
    <t>GB0033772731</t>
  </si>
  <si>
    <t>Euro Inflation Linked Intermediate Duration Fixed Income Fund (EUR, Acc.)</t>
  </si>
  <si>
    <t>IE00B3N38C44</t>
  </si>
  <si>
    <t>Global Short Fixed Income Fund (CHF, Dis.)</t>
  </si>
  <si>
    <t>IE00B3WGLP80</t>
  </si>
  <si>
    <t>World Allocation 20/80 Fund (EUR, Acc.)</t>
  </si>
  <si>
    <t>IE00BYTYTX63</t>
  </si>
  <si>
    <t>World Allocation</t>
  </si>
  <si>
    <t>World Allocation 40/60 Fund (EUR, Acc.)</t>
  </si>
  <si>
    <t>IE00B8Y02V60</t>
  </si>
  <si>
    <t>World Allocation 60/40 Fund (USD, Acc.)</t>
  </si>
  <si>
    <t>IE00BFZ0X772</t>
  </si>
  <si>
    <t>IE</t>
  </si>
  <si>
    <t>Sustainability-Related Disclosures (EU SFDR)</t>
  </si>
  <si>
    <t>Emerging Markets Large Cap Core Equity Fund (EUR, Acc.)</t>
  </si>
  <si>
    <t>IE00BWGCG836</t>
  </si>
  <si>
    <t>IE00BLCGQX70</t>
  </si>
  <si>
    <t>Emerging Markets Value Fund (GBP, Dis.)</t>
  </si>
  <si>
    <t>IE00B0HCGW27</t>
  </si>
  <si>
    <t>Global Short Fixed Income Fund (SEK, Acc.)</t>
  </si>
  <si>
    <t>IE00BN897W00</t>
  </si>
  <si>
    <t>IE00BLCGQS28</t>
  </si>
  <si>
    <t>IE000WM8TSQ7</t>
  </si>
  <si>
    <t>World Allocation 40/60 Fund (USD, Acc.)</t>
  </si>
  <si>
    <t>IE00BFZ0X665</t>
  </si>
  <si>
    <t>AU</t>
  </si>
  <si>
    <t>Additional Information Guide</t>
  </si>
  <si>
    <t>Annual Financial Report</t>
  </si>
  <si>
    <t>Application Form</t>
  </si>
  <si>
    <t>Approved Emerging Markets</t>
  </si>
  <si>
    <t>Financial Year Growth and Distribution Summary</t>
  </si>
  <si>
    <t>Interim Financial Report</t>
  </si>
  <si>
    <t>Investment Portal Terms &amp; Conditions</t>
  </si>
  <si>
    <t>Market Indices</t>
  </si>
  <si>
    <t>Monthly After Tax Returns</t>
  </si>
  <si>
    <t>Monthly Net Returns (NZD)</t>
  </si>
  <si>
    <t>Monthly Net and Gross Returns</t>
  </si>
  <si>
    <t>NAV Prices</t>
  </si>
  <si>
    <t>Periodic Growth and Distribution Summary</t>
  </si>
  <si>
    <t>Product Disclosure Statement</t>
  </si>
  <si>
    <t>Quarterly Report</t>
  </si>
  <si>
    <t>Sustainability Impact Considerations</t>
  </si>
  <si>
    <t>Target Market Determination</t>
  </si>
  <si>
    <t>Update to PDS - Management Fee Reduction</t>
  </si>
  <si>
    <t>Update to Standard Risk Measures</t>
  </si>
  <si>
    <t xml:space="preserve">Australian Sustainability Trust </t>
  </si>
  <si>
    <t>DFA2068AU</t>
  </si>
  <si>
    <t xml:space="preserve">Emerging Markets Value Trust </t>
  </si>
  <si>
    <t>DFA0107AU</t>
  </si>
  <si>
    <t>DFA0102AU</t>
  </si>
  <si>
    <t xml:space="preserve">Five-Year Diversified Fixed Int. Trust AUD Class </t>
  </si>
  <si>
    <t>DFA0108AU</t>
  </si>
  <si>
    <t>Global Bond Sustainability Trust AUD Class</t>
  </si>
  <si>
    <t>DFA0642AU</t>
  </si>
  <si>
    <t xml:space="preserve">Two-Year Sustainability Fixed Int. Trust AUD Class </t>
  </si>
  <si>
    <t>DFA0002AU</t>
  </si>
  <si>
    <t>Global Real Estate Trust NZD Hedged Class</t>
  </si>
  <si>
    <t>DFA0044AU</t>
  </si>
  <si>
    <t>Global Real Estate Trust Unhedged Class</t>
  </si>
  <si>
    <t>DFA0005AU</t>
  </si>
  <si>
    <t xml:space="preserve">World Allocation 30/70 Trust </t>
  </si>
  <si>
    <t>DFA8313AU</t>
  </si>
  <si>
    <t xml:space="preserve">World Allocation 50/50 Trust </t>
  </si>
  <si>
    <t>DFA0033AU</t>
  </si>
  <si>
    <t xml:space="preserve">World Allocation 70/30 Trust </t>
  </si>
  <si>
    <t>DFA0029AU</t>
  </si>
  <si>
    <t xml:space="preserve">Identifier </t>
  </si>
  <si>
    <t>Notice annuelle</t>
  </si>
  <si>
    <t>Rapport annuel de la direction sur le rendement du Fonds</t>
  </si>
  <si>
    <t>Rapport annuel</t>
  </si>
  <si>
    <t>Annual Report (US)</t>
  </si>
  <si>
    <t>Annual Reports November</t>
  </si>
  <si>
    <t>Annual-Report-Accounts-December</t>
  </si>
  <si>
    <t>Annual-Report-Accounts-November</t>
  </si>
  <si>
    <t>Country Caps</t>
  </si>
  <si>
    <t>Country Caps and Approved Emerging Markets</t>
  </si>
  <si>
    <t>Country Caps for Emerging Markets Strategies</t>
  </si>
  <si>
    <t>Country Weights</t>
  </si>
  <si>
    <t>Definitions of Terms</t>
  </si>
  <si>
    <t>Dilution Levy Announcement</t>
  </si>
  <si>
    <t>Nature des distributions</t>
  </si>
  <si>
    <t>Aperçu du Fonds</t>
  </si>
  <si>
    <t>Holdings Announcement</t>
  </si>
  <si>
    <t>Inclusion of Direct Equities</t>
  </si>
  <si>
    <t>Inclusion Of Direct Equity Holdings In Developed Markets</t>
  </si>
  <si>
    <t>Information Memorandum</t>
  </si>
  <si>
    <t>Interim-Report-Accounts-June</t>
  </si>
  <si>
    <t>Interim-Report-Accounts-May</t>
  </si>
  <si>
    <t>Interim-Short-Report-June</t>
  </si>
  <si>
    <t>Interim-Short-Report-May</t>
  </si>
  <si>
    <t>Investment Portal Terms and Conditions</t>
  </si>
  <si>
    <t>Italian KIID</t>
  </si>
  <si>
    <t>KIID</t>
  </si>
  <si>
    <t>KIID (For Inactive Funds)</t>
  </si>
  <si>
    <t>Exploitations</t>
  </si>
  <si>
    <t>PDS and Fund Strategy Update</t>
  </si>
  <si>
    <t>PFIC Rapport annuel d'information</t>
  </si>
  <si>
    <t>Portfolio Characteristics</t>
  </si>
  <si>
    <t>Proxy Voting Records</t>
  </si>
  <si>
    <t>Rapport semestriel de la direction sur le rendement du Fonds</t>
  </si>
  <si>
    <t>Rapport semestriel</t>
  </si>
  <si>
    <t>Short-Report-December</t>
  </si>
  <si>
    <t>Short-Report-November</t>
  </si>
  <si>
    <t>Significant And Premium Investor Visa Declaration</t>
  </si>
  <si>
    <t>Sommaire du portefeuille</t>
  </si>
  <si>
    <t>Supplemental Fund Doc</t>
  </si>
  <si>
    <t>Sustainable Finance Disclosure Regulation</t>
  </si>
  <si>
    <t>Tax Components</t>
  </si>
  <si>
    <t>Tax Designation Letter</t>
  </si>
  <si>
    <t>Top Holdings</t>
  </si>
  <si>
    <t>Unrounded NAV</t>
  </si>
  <si>
    <t>Update to PDS - change to Transaction Costs Allowance</t>
  </si>
  <si>
    <t>Update to PDS - Reduction to TCA on exit and removal of cap on TCA</t>
  </si>
  <si>
    <t>Updated Exclusions Announcement</t>
  </si>
  <si>
    <t>CA FR</t>
  </si>
  <si>
    <t>dfa255</t>
  </si>
  <si>
    <t xml:space="preserve">Equity </t>
  </si>
  <si>
    <t>N/A</t>
  </si>
  <si>
    <t>Public</t>
  </si>
  <si>
    <t>Intl. Core Equity Fund (A)</t>
  </si>
  <si>
    <t>dfa294</t>
  </si>
  <si>
    <t>dfa444</t>
  </si>
  <si>
    <t>World Equity Portfolio (A)</t>
  </si>
  <si>
    <t>dfa921</t>
  </si>
  <si>
    <t>dfa923</t>
  </si>
  <si>
    <t>dfa230</t>
  </si>
  <si>
    <t>dfa917</t>
  </si>
  <si>
    <t>Global Investment Grade Fixed Income Fund (A)</t>
  </si>
  <si>
    <t>dfa448</t>
  </si>
  <si>
    <t>Global Targeted Credit Fund (A)</t>
  </si>
  <si>
    <t>dfa856</t>
  </si>
  <si>
    <t>dfa857</t>
  </si>
  <si>
    <t>dfa390</t>
  </si>
  <si>
    <t>dfa391</t>
  </si>
  <si>
    <t>dfa392</t>
  </si>
  <si>
    <t>dfa603</t>
  </si>
  <si>
    <t>dfa834</t>
  </si>
  <si>
    <t>dfa699</t>
  </si>
  <si>
    <t>Global 50EQ-50FI Portfolio (I)</t>
  </si>
  <si>
    <t>dfa830</t>
  </si>
  <si>
    <t>Global 60EQ-40FI Portfolio (I) USD</t>
  </si>
  <si>
    <t>dfa692</t>
  </si>
  <si>
    <t xml:space="preserve">This excel is a list of rules to test our fund documents. 
We've selected a sample of countries. 
From the sample of countries, we've selected a sample of funds based on asset class. 
For each asset class, there are a sample of 2-3 funds to check. 
For each fund selected, we will list each document that should be showing on both the client site and public site. 
For each fund, we will see how many documents should be showing (client and public) and exactly which documents those are (fund document titles). 
We will be testing link validation for client site only as this list of funds is often comprehensive and includes documents also listed on public site. </t>
  </si>
  <si>
    <t xml:space="preserve">Legend: 
Client - this document is only on the Client Site for this fund 
Public - this document is only on the Public Site for this fund 
Yes - this document is on both the Client and Public Sites for this fund and shows in both places 
# of docs - the total number of documents that should show for this fund broken down by site </t>
  </si>
  <si>
    <t>Swiss PRIIPs KID - English</t>
  </si>
  <si>
    <t>Swiss Prospectus</t>
  </si>
  <si>
    <t>Updates to PDS - Dimensional Wholesale Trusts</t>
  </si>
  <si>
    <t>Quarterly Fact Sheet</t>
  </si>
  <si>
    <t>Risk Ratings</t>
  </si>
  <si>
    <t>PRIIPs KID - French</t>
  </si>
  <si>
    <t>PRIIPs KID - Spanish</t>
  </si>
  <si>
    <t>PRIIPs KID - Portuguese</t>
  </si>
  <si>
    <t>Investor Tax Reporting - UK</t>
  </si>
  <si>
    <t>Investor Tax Reporting - Germany</t>
  </si>
  <si>
    <t>Investor Tax Reporting - Switzerland</t>
  </si>
  <si>
    <t>Quarterly Holdings</t>
  </si>
  <si>
    <t>TCFD Emerging Markets Core Equity Fund Product Report</t>
  </si>
  <si>
    <t>TCFD International Core Equity Fund Product Report</t>
  </si>
  <si>
    <t>TCFD International Value Fund Product Report</t>
  </si>
  <si>
    <t>TCFD Global Short-Dated Bond Fund Product Report</t>
  </si>
  <si>
    <t>TCFD UK Small Companies Fund Product Report</t>
  </si>
  <si>
    <t>Daily Pricing Basket</t>
  </si>
  <si>
    <t>ASX Announcements</t>
  </si>
  <si>
    <t>Conversion Guide</t>
  </si>
  <si>
    <t>Financial Year-End Fact Sheet</t>
  </si>
  <si>
    <t>Distribution Reinvestment Plan</t>
  </si>
  <si>
    <t>Dimensional Global Value Trust – Active ETF</t>
  </si>
  <si>
    <t>UCITS Summary of Registrations</t>
  </si>
  <si>
    <t>Semi-Annual Report</t>
  </si>
  <si>
    <t>Annual Financial Statements &amp; Other Information</t>
  </si>
  <si>
    <t>Final Distribution Announcement</t>
  </si>
  <si>
    <t xml:space="preserve">International Core Equity 2 Portfolio (I) </t>
  </si>
  <si>
    <t>ESG Considerations</t>
  </si>
  <si>
    <t>Emerging Markets Core Equity Lower Carbon ESG Screened Fund (GBP, Dis.)</t>
  </si>
  <si>
    <t>Global Core Fixed Income Lower Carbon ESG Screened Fund (SEK, Acc.)</t>
  </si>
  <si>
    <t>Global Short Fixed Income Lower Carbon ESG Screened Fund (USD, Dis.)</t>
  </si>
  <si>
    <t>ESG Report</t>
  </si>
  <si>
    <t>Fund Profile</t>
  </si>
  <si>
    <t>Holdings as of April 11, 2025</t>
  </si>
  <si>
    <t>Investor Tax Reporting - Austria</t>
  </si>
  <si>
    <t>Update to PDS - Buy-Sell Spreads</t>
  </si>
  <si>
    <t>Semi-Annual Financial Statements &amp; Other Information</t>
  </si>
  <si>
    <t>Updates to PDS - Dimensional Trusts</t>
  </si>
  <si>
    <t>2026 Fund Distribution Dates</t>
  </si>
  <si>
    <t>2025 Fund Distribution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</si>
</sst>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4"/>
      <color theme="1"/>
      <name val="Calibri"/>
      <family val="2"/>
      <scheme val="minor"/>
    </font>
    <font>
      <sz val="14"/>
      <color theme="1"/>
      <name val="Calibri"/>
    </font>
    <font>
      <sz val="14"/>
      <color rgb="FF000000"/>
      <name val="Calibri"/>
      <family val="2"/>
    </font>
    <font>
      <sz val="14"/>
      <color rgb="FF444444"/>
      <name val="Calibri"/>
      <family val="2"/>
      <charset val="1"/>
    </font>
    <font>
      <sz val="20"/>
      <color theme="1"/>
      <name val="Calibri"/>
      <family val="2"/>
      <scheme val="minor"/>
    </font>
    <font>
      <u/>
      <sz val="11"/>
      <color theme="10"/>
      <name val="Calibri"/>
      <family val="2"/>
      <scheme val="minor"/>
    </font>
    <font>
      <u/>
      <sz val="14"/>
      <color theme="10"/>
      <name val="Calibri"/>
      <family val="2"/>
      <scheme val="minor"/>
    </font>
    <font>
      <sz val="14"/>
      <color theme="1"/>
      <name val="Calibri"/>
      <family val="2"/>
    </font>
    <font>
      <sz val="14"/>
      <color rgb="FF000000"/>
      <name val="Calibri"/>
      <family val="2"/>
      <scheme val="minor"/>
    </font>
    <font>
      <sz val="14"/>
      <color rgb="FF000000"/>
      <name val="Calibri"/>
      <scheme val="minor"/>
    </font>
    <font>
      <sz val="14"/>
      <color rgb="FF444444"/>
      <name val="Calibri"/>
      <family val="2"/>
      <charset val="1"/>
      <scheme val="minor"/>
    </font>
  </fonts>
  <fills count="5">
    <fill>
      <patternFill patternType="none"/>
    </fill>
    <fill>
      <patternFill patternType="gray125"/>
    </fill>
    <fill>
      <patternFill patternType="solid">
        <fgColor rgb="FFFFFF00"/>
        <bgColor indexed="64"/>
      </patternFill>
    </fill>
    <fill>
      <patternFill patternType="solid">
        <fgColor rgb="FFD6DCE4"/>
        <bgColor indexed="64"/>
      </patternFill>
    </fill>
    <fill>
      <patternFill patternType="solid">
        <fgColor rgb="FFD6DCE4"/>
        <bgColor rgb="FF000000"/>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35">
    <xf numFmtId="0" fontId="0" fillId="0" borderId="0" xfId="0"/>
    <xf numFmtId="0" fontId="1" fillId="0" borderId="0" xfId="0" applyFont="1"/>
    <xf numFmtId="0" fontId="2" fillId="3" borderId="0" xfId="0" applyFont="1" applyFill="1"/>
    <xf numFmtId="0" fontId="3" fillId="3" borderId="0" xfId="0" applyFont="1" applyFill="1"/>
    <xf numFmtId="0" fontId="4" fillId="0" borderId="0" xfId="0" quotePrefix="1" applyFont="1"/>
    <xf numFmtId="0" fontId="2" fillId="2" borderId="0" xfId="0" applyFont="1" applyFill="1"/>
    <xf numFmtId="0" fontId="2" fillId="0" borderId="0" xfId="0" applyFont="1"/>
    <xf numFmtId="0" fontId="5" fillId="0" borderId="0" xfId="0" applyFont="1"/>
    <xf numFmtId="0" fontId="7" fillId="0" borderId="0" xfId="1" applyFont="1" applyAlignment="1">
      <alignment vertical="center"/>
    </xf>
    <xf numFmtId="0" fontId="3" fillId="0" borderId="0" xfId="0" applyFont="1" applyAlignment="1">
      <alignment horizontal="left"/>
    </xf>
    <xf numFmtId="0" fontId="2" fillId="0" borderId="0" xfId="0" applyFont="1" applyAlignment="1">
      <alignment horizontal="right"/>
    </xf>
    <xf numFmtId="0" fontId="3" fillId="3" borderId="0" xfId="0" applyFont="1" applyFill="1" applyAlignment="1">
      <alignment wrapText="1"/>
    </xf>
    <xf numFmtId="0" fontId="1" fillId="2" borderId="0" xfId="0" applyFont="1" applyFill="1" applyAlignment="1">
      <alignment horizontal="center"/>
    </xf>
    <xf numFmtId="0" fontId="9" fillId="4" borderId="0" xfId="0" applyFont="1" applyFill="1"/>
    <xf numFmtId="0" fontId="9" fillId="0" borderId="0" xfId="0" applyFont="1"/>
    <xf numFmtId="0" fontId="8" fillId="2" borderId="0" xfId="0" applyFont="1" applyFill="1"/>
    <xf numFmtId="0" fontId="8" fillId="0" borderId="0" xfId="0" applyFont="1"/>
    <xf numFmtId="0" fontId="9" fillId="0" borderId="0" xfId="0" applyFont="1" applyAlignment="1">
      <alignment horizontal="left"/>
    </xf>
    <xf numFmtId="0" fontId="11" fillId="0" borderId="0" xfId="0" applyFont="1"/>
    <xf numFmtId="0" fontId="8" fillId="3" borderId="0" xfId="0" applyFont="1" applyFill="1" applyAlignment="1">
      <alignment vertical="top"/>
    </xf>
    <xf numFmtId="0" fontId="1" fillId="3" borderId="0" xfId="0" applyFont="1" applyFill="1" applyAlignment="1">
      <alignment vertical="top"/>
    </xf>
    <xf numFmtId="0" fontId="9" fillId="4" borderId="0" xfId="0" applyFont="1" applyFill="1" applyAlignment="1">
      <alignment vertical="top"/>
    </xf>
    <xf numFmtId="0" fontId="3" fillId="0" borderId="0" xfId="0" applyFont="1" applyAlignment="1">
      <alignment vertical="top"/>
    </xf>
    <xf numFmtId="0" fontId="1" fillId="0" borderId="0" xfId="0" applyFont="1" applyAlignment="1">
      <alignment vertical="top"/>
    </xf>
    <xf numFmtId="0" fontId="3" fillId="3" borderId="0" xfId="0" applyFont="1" applyFill="1" applyAlignment="1">
      <alignment vertical="top"/>
    </xf>
    <xf numFmtId="0" fontId="1" fillId="0" borderId="0" xfId="0" quotePrefix="1" applyFont="1"/>
    <xf numFmtId="0" fontId="1" fillId="2" borderId="0" xfId="0" applyFont="1" applyFill="1" applyAlignment="1">
      <alignment horizontal="left" vertical="top"/>
    </xf>
    <xf numFmtId="0" fontId="10" fillId="4" borderId="0" xfId="0" applyFont="1" applyFill="1" applyAlignment="1">
      <alignment vertical="top"/>
    </xf>
    <xf numFmtId="0" fontId="9" fillId="0" borderId="0" xfId="0" applyFont="1" applyAlignment="1">
      <alignment vertical="top"/>
    </xf>
    <xf numFmtId="0" fontId="0" fillId="0" borderId="0" xfId="0" applyAlignment="1">
      <alignment wrapText="1"/>
    </xf>
    <xf numFmtId="0" fontId="0" fillId="0" borderId="0" xfId="0" applyAlignment="1">
      <alignment vertical="top" wrapText="1"/>
    </xf>
    <xf numFmtId="0" fontId="9" fillId="0" borderId="0" xfId="0" applyFont="1" applyFill="1"/>
    <xf numFmtId="0" fontId="1" fillId="0" borderId="0" xfId="0" applyFont="1" applyFill="1"/>
    <xf numFmtId="0" fontId="9" fillId="4" borderId="0" xfId="0" applyFont="1" applyFill="1" applyAlignment="1">
      <alignment vertical="top" wrapText="1"/>
    </xf>
    <xf numFmtId="0" fontId="9" fillId="4" borderId="0" xfId="0" applyFont="1" applyFill="1" applyAlignment="1">
      <alignment vertical="top"/>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CAB33-4231-4835-80BF-E71C499F1779}">
  <dimension ref="A1:AD17"/>
  <sheetViews>
    <sheetView tabSelected="1" workbookViewId="0">
      <selection activeCell="AD3" sqref="AD3:AD17"/>
    </sheetView>
  </sheetViews>
  <sheetFormatPr defaultColWidth="9.15625" defaultRowHeight="18.3" x14ac:dyDescent="0.7"/>
  <cols>
    <col min="1" max="1" width="7.68359375" style="1" bestFit="1" customWidth="1"/>
    <col min="2" max="2" width="57.83984375" style="1" bestFit="1" customWidth="1"/>
    <col min="3" max="3" width="12.15625" style="1" bestFit="1" customWidth="1"/>
    <col min="4" max="4" width="18.15625" style="1" bestFit="1" customWidth="1"/>
    <col min="5" max="5" width="16.578125" style="1" bestFit="1" customWidth="1"/>
    <col min="6" max="6" width="16" style="1" bestFit="1" customWidth="1"/>
    <col min="7" max="7" width="15.41796875" style="1" bestFit="1" customWidth="1"/>
    <col min="8" max="8" width="51.83984375" style="1" bestFit="1" customWidth="1"/>
    <col min="9" max="9" width="13.68359375" style="1" bestFit="1" customWidth="1"/>
    <col min="10" max="10" width="11.41796875" style="1" bestFit="1" customWidth="1"/>
    <col min="11" max="11" width="35.15625" style="1" bestFit="1" customWidth="1"/>
    <col min="12" max="12" width="35.15625" style="1" customWidth="1"/>
    <col min="13" max="13" width="18.68359375" style="1" bestFit="1" customWidth="1"/>
    <col min="14" max="14" width="6.578125" style="1" bestFit="1" customWidth="1"/>
    <col min="15" max="15" width="27.68359375" style="1" bestFit="1" customWidth="1"/>
    <col min="16" max="16" width="11.83984375" style="1" bestFit="1" customWidth="1"/>
    <col min="17" max="20" width="13.15625" style="1" bestFit="1" customWidth="1"/>
    <col min="21" max="21" width="4.15625" style="1" bestFit="1" customWidth="1"/>
    <col min="22" max="22" width="20.15625" style="1" bestFit="1" customWidth="1"/>
    <col min="23" max="23" width="20.15625" style="1" customWidth="1"/>
    <col min="24" max="24" width="37" style="1" bestFit="1" customWidth="1"/>
    <col min="25" max="25" width="22.15625" style="1" bestFit="1" customWidth="1"/>
    <col min="26" max="26" width="30.15625" style="1" bestFit="1" customWidth="1"/>
    <col min="27" max="27" width="22" style="1" bestFit="1" customWidth="1"/>
    <col min="28" max="28" width="10.578125" style="1" bestFit="1" customWidth="1"/>
    <col min="29" max="30" width="30.68359375" style="1" bestFit="1" customWidth="1"/>
    <col min="31" max="31" width="39" style="1" bestFit="1" customWidth="1"/>
    <col min="32" max="32" width="11" style="1" customWidth="1"/>
    <col min="33" max="33" width="29" style="1" customWidth="1"/>
    <col min="34" max="34" width="31.15625" style="1" customWidth="1"/>
    <col min="35" max="35" width="65.68359375" style="1" customWidth="1"/>
    <col min="36" max="36" width="31.578125" style="1" customWidth="1"/>
    <col min="37" max="37" width="35.15625" style="1" customWidth="1"/>
    <col min="38" max="38" width="35" style="1" customWidth="1"/>
    <col min="39" max="39" width="31" style="1" customWidth="1"/>
    <col min="40" max="40" width="30.83984375" style="1" customWidth="1"/>
    <col min="41" max="41" width="46.578125" style="1" customWidth="1"/>
    <col min="42" max="42" width="17.15625" style="1" customWidth="1"/>
    <col min="43" max="43" width="13.15625" style="1" customWidth="1"/>
    <col min="44" max="44" width="5.83984375" style="1" customWidth="1"/>
    <col min="45" max="45" width="28.578125" style="1" customWidth="1"/>
    <col min="46" max="46" width="17.83984375" style="1" customWidth="1"/>
    <col min="47" max="47" width="21.15625" style="1" bestFit="1" customWidth="1"/>
    <col min="48" max="48" width="7.83984375" style="1" bestFit="1" customWidth="1"/>
    <col min="49" max="49" width="31.15625" style="1" bestFit="1" customWidth="1"/>
    <col min="50" max="50" width="35.578125" style="1" customWidth="1"/>
    <col min="51" max="51" width="41.15625" style="1" customWidth="1"/>
    <col min="52" max="52" width="28.15625" style="1" customWidth="1"/>
    <col min="53" max="53" width="34.68359375" style="1" customWidth="1"/>
    <col min="54" max="54" width="13.578125" style="1" bestFit="1" customWidth="1"/>
    <col min="55" max="55" width="57.41796875" style="1" customWidth="1"/>
    <col min="56" max="56" width="25.15625" style="1" customWidth="1"/>
    <col min="57" max="60" width="14.83984375" style="1" bestFit="1" customWidth="1"/>
    <col min="61" max="61" width="5.15625" style="1" bestFit="1" customWidth="1"/>
    <col min="62" max="62" width="64.15625" style="1" customWidth="1"/>
    <col min="63" max="63" width="23.68359375" style="1" bestFit="1" customWidth="1"/>
    <col min="64" max="64" width="28.15625" style="1" customWidth="1"/>
    <col min="65" max="65" width="28.578125" style="1" customWidth="1"/>
    <col min="66" max="66" width="57.68359375" style="1" customWidth="1"/>
    <col min="67" max="67" width="41.15625" style="1" bestFit="1" customWidth="1"/>
    <col min="68" max="68" width="38.68359375" style="1" customWidth="1"/>
    <col min="69" max="69" width="25" style="1" bestFit="1" customWidth="1"/>
    <col min="70" max="70" width="28" style="1" customWidth="1"/>
    <col min="71" max="71" width="33.68359375" style="1" bestFit="1" customWidth="1"/>
    <col min="72" max="72" width="42.15625" style="1" customWidth="1"/>
    <col min="73" max="73" width="24.578125" style="1" bestFit="1" customWidth="1"/>
    <col min="74" max="74" width="48.578125" style="1" customWidth="1"/>
    <col min="75" max="75" width="34.41796875" style="1" customWidth="1"/>
    <col min="76" max="76" width="20" style="1" customWidth="1"/>
    <col min="77" max="77" width="26.41796875" style="1" customWidth="1"/>
    <col min="78" max="78" width="12.15625" style="1" bestFit="1" customWidth="1"/>
    <col min="79" max="79" width="15.68359375" style="1" customWidth="1"/>
    <col min="80" max="80" width="41.83984375" style="1" customWidth="1"/>
    <col min="81" max="81" width="19.68359375" style="1" customWidth="1"/>
    <col min="82" max="82" width="63.578125" style="1" customWidth="1"/>
    <col min="83" max="83" width="51.578125" style="1" customWidth="1"/>
    <col min="84" max="84" width="78.578125" style="1" customWidth="1"/>
    <col min="85" max="85" width="41.15625" style="1" customWidth="1"/>
    <col min="86" max="16384" width="9.15625" style="1"/>
  </cols>
  <sheetData>
    <row r="1" spans="1:30" ht="18.75" customHeight="1" x14ac:dyDescent="0.7">
      <c r="A1" s="12" t="s">
        <v>0</v>
      </c>
      <c r="L1" s="14"/>
    </row>
    <row r="2" spans="1:30" s="23" customFormat="1" x14ac:dyDescent="0.55000000000000004">
      <c r="A2" s="19" t="s">
        <v>1</v>
      </c>
      <c r="B2" s="20" t="s">
        <v>2</v>
      </c>
      <c r="C2" s="21" t="s">
        <v>3</v>
      </c>
      <c r="D2" s="20" t="s">
        <v>4</v>
      </c>
      <c r="E2" s="19" t="s">
        <v>5</v>
      </c>
      <c r="F2" s="19" t="s">
        <v>6</v>
      </c>
      <c r="G2" s="24" t="s">
        <v>7</v>
      </c>
      <c r="H2" s="24" t="s">
        <v>292</v>
      </c>
      <c r="I2" s="24" t="s">
        <v>8</v>
      </c>
      <c r="J2" s="24" t="s">
        <v>9</v>
      </c>
      <c r="K2" s="24" t="s">
        <v>10</v>
      </c>
      <c r="L2" s="33" t="s">
        <v>301</v>
      </c>
      <c r="M2" s="24" t="s">
        <v>11</v>
      </c>
      <c r="N2" s="24" t="s">
        <v>12</v>
      </c>
      <c r="O2" s="24" t="s">
        <v>13</v>
      </c>
      <c r="P2" s="24" t="s">
        <v>14</v>
      </c>
      <c r="Q2" s="20" t="s">
        <v>15</v>
      </c>
      <c r="R2" s="20" t="s">
        <v>16</v>
      </c>
      <c r="S2" s="20" t="s">
        <v>17</v>
      </c>
      <c r="T2" s="20" t="s">
        <v>18</v>
      </c>
      <c r="U2" s="24" t="s">
        <v>19</v>
      </c>
      <c r="V2" s="24" t="s">
        <v>291</v>
      </c>
      <c r="W2" s="24" t="s">
        <v>304</v>
      </c>
      <c r="X2" s="24" t="s">
        <v>20</v>
      </c>
      <c r="Y2" s="24" t="s">
        <v>21</v>
      </c>
      <c r="Z2" s="24" t="s">
        <v>22</v>
      </c>
      <c r="AA2" s="24" t="s">
        <v>23</v>
      </c>
      <c r="AB2" s="24" t="s">
        <v>24</v>
      </c>
      <c r="AC2" s="19" t="s">
        <v>306</v>
      </c>
      <c r="AD2" s="19" t="s">
        <v>307</v>
      </c>
    </row>
    <row r="3" spans="1:30" x14ac:dyDescent="0.7">
      <c r="B3" s="1" t="s">
        <v>25</v>
      </c>
      <c r="C3" s="14" t="s">
        <v>26</v>
      </c>
      <c r="D3" s="1" t="s">
        <v>27</v>
      </c>
      <c r="E3" s="4">
        <f t="shared" ref="E3:E17" si="0">COUNTIF(G3:YC3,"Yes")</f>
        <v>14</v>
      </c>
      <c r="F3" s="4">
        <f t="shared" ref="F3:F17" si="1">SUM(E3,COUNTIF(G3:YC3,"Client"))</f>
        <v>17</v>
      </c>
      <c r="G3" s="1" t="s">
        <v>28</v>
      </c>
      <c r="H3" s="1" t="s">
        <v>28</v>
      </c>
      <c r="I3" s="1" t="s">
        <v>29</v>
      </c>
      <c r="J3" s="1" t="s">
        <v>28</v>
      </c>
      <c r="L3" s="14"/>
      <c r="M3" s="1" t="s">
        <v>28</v>
      </c>
      <c r="N3" s="1" t="s">
        <v>29</v>
      </c>
      <c r="O3" s="1" t="s">
        <v>29</v>
      </c>
      <c r="P3" s="1" t="s">
        <v>28</v>
      </c>
      <c r="Q3" s="1" t="s">
        <v>28</v>
      </c>
      <c r="S3" s="1" t="s">
        <v>28</v>
      </c>
      <c r="U3" s="1" t="s">
        <v>28</v>
      </c>
      <c r="V3" s="1" t="s">
        <v>28</v>
      </c>
      <c r="W3" s="1" t="s">
        <v>28</v>
      </c>
      <c r="Y3" s="1" t="s">
        <v>28</v>
      </c>
      <c r="AB3" s="1" t="s">
        <v>28</v>
      </c>
      <c r="AC3" s="1" t="s">
        <v>28</v>
      </c>
      <c r="AD3" s="1" t="s">
        <v>28</v>
      </c>
    </row>
    <row r="4" spans="1:30" x14ac:dyDescent="0.7">
      <c r="B4" s="1" t="s">
        <v>294</v>
      </c>
      <c r="C4" s="14" t="s">
        <v>30</v>
      </c>
      <c r="D4" s="1" t="s">
        <v>27</v>
      </c>
      <c r="E4" s="4">
        <f t="shared" si="0"/>
        <v>14</v>
      </c>
      <c r="F4" s="4">
        <f t="shared" si="1"/>
        <v>17</v>
      </c>
      <c r="G4" s="1" t="s">
        <v>28</v>
      </c>
      <c r="H4" s="1" t="s">
        <v>28</v>
      </c>
      <c r="I4" s="1" t="s">
        <v>29</v>
      </c>
      <c r="J4" s="1" t="s">
        <v>28</v>
      </c>
      <c r="L4" s="14"/>
      <c r="M4" s="1" t="s">
        <v>28</v>
      </c>
      <c r="N4" s="1" t="s">
        <v>29</v>
      </c>
      <c r="O4" s="1" t="s">
        <v>29</v>
      </c>
      <c r="P4" s="1" t="s">
        <v>28</v>
      </c>
      <c r="Q4" s="1" t="s">
        <v>28</v>
      </c>
      <c r="S4" s="1" t="s">
        <v>28</v>
      </c>
      <c r="U4" s="1" t="s">
        <v>28</v>
      </c>
      <c r="V4" s="1" t="s">
        <v>28</v>
      </c>
      <c r="W4" s="1" t="s">
        <v>28</v>
      </c>
      <c r="Y4" s="1" t="s">
        <v>28</v>
      </c>
      <c r="AB4" s="1" t="s">
        <v>28</v>
      </c>
      <c r="AC4" s="1" t="s">
        <v>28</v>
      </c>
      <c r="AD4" s="1" t="s">
        <v>28</v>
      </c>
    </row>
    <row r="5" spans="1:30" x14ac:dyDescent="0.7">
      <c r="B5" s="1" t="s">
        <v>31</v>
      </c>
      <c r="C5" s="14" t="s">
        <v>32</v>
      </c>
      <c r="D5" s="1" t="s">
        <v>33</v>
      </c>
      <c r="E5" s="4">
        <f t="shared" si="0"/>
        <v>14</v>
      </c>
      <c r="F5" s="4">
        <f t="shared" si="1"/>
        <v>16</v>
      </c>
      <c r="G5" s="1" t="s">
        <v>28</v>
      </c>
      <c r="H5" s="1" t="s">
        <v>28</v>
      </c>
      <c r="I5" s="1" t="s">
        <v>29</v>
      </c>
      <c r="J5" s="1" t="s">
        <v>28</v>
      </c>
      <c r="L5" s="14"/>
      <c r="M5" s="1" t="s">
        <v>28</v>
      </c>
      <c r="N5" s="1" t="s">
        <v>29</v>
      </c>
      <c r="P5" s="1" t="s">
        <v>28</v>
      </c>
      <c r="Q5" s="1" t="s">
        <v>28</v>
      </c>
      <c r="S5" s="1" t="s">
        <v>28</v>
      </c>
      <c r="U5" s="1" t="s">
        <v>28</v>
      </c>
      <c r="V5" s="1" t="s">
        <v>28</v>
      </c>
      <c r="W5" s="1" t="s">
        <v>28</v>
      </c>
      <c r="Y5" s="1" t="s">
        <v>28</v>
      </c>
      <c r="AB5" s="1" t="s">
        <v>28</v>
      </c>
      <c r="AC5" s="1" t="s">
        <v>28</v>
      </c>
      <c r="AD5" s="1" t="s">
        <v>28</v>
      </c>
    </row>
    <row r="6" spans="1:30" x14ac:dyDescent="0.7">
      <c r="B6" s="1" t="s">
        <v>34</v>
      </c>
      <c r="C6" s="14" t="s">
        <v>35</v>
      </c>
      <c r="D6" s="1" t="s">
        <v>33</v>
      </c>
      <c r="E6" s="4">
        <f t="shared" si="0"/>
        <v>16</v>
      </c>
      <c r="F6" s="4">
        <f t="shared" si="1"/>
        <v>18</v>
      </c>
      <c r="G6" s="1" t="s">
        <v>28</v>
      </c>
      <c r="H6" s="1" t="s">
        <v>28</v>
      </c>
      <c r="I6" s="1" t="s">
        <v>29</v>
      </c>
      <c r="J6" s="1" t="s">
        <v>28</v>
      </c>
      <c r="L6" s="14"/>
      <c r="M6" s="1" t="s">
        <v>28</v>
      </c>
      <c r="N6" s="1" t="s">
        <v>29</v>
      </c>
      <c r="P6" s="1" t="s">
        <v>28</v>
      </c>
      <c r="Q6" s="1" t="s">
        <v>28</v>
      </c>
      <c r="S6" s="1" t="s">
        <v>28</v>
      </c>
      <c r="U6" s="1" t="s">
        <v>28</v>
      </c>
      <c r="V6" s="1" t="s">
        <v>28</v>
      </c>
      <c r="W6" s="1" t="s">
        <v>28</v>
      </c>
      <c r="Y6" s="1" t="s">
        <v>28</v>
      </c>
      <c r="Z6" s="1" t="s">
        <v>28</v>
      </c>
      <c r="AA6" s="1" t="s">
        <v>28</v>
      </c>
      <c r="AB6" s="1" t="s">
        <v>28</v>
      </c>
      <c r="AC6" s="1" t="s">
        <v>28</v>
      </c>
      <c r="AD6" s="1" t="s">
        <v>28</v>
      </c>
    </row>
    <row r="7" spans="1:30" x14ac:dyDescent="0.7">
      <c r="B7" s="1" t="s">
        <v>36</v>
      </c>
      <c r="C7" s="14" t="s">
        <v>37</v>
      </c>
      <c r="D7" s="1" t="s">
        <v>33</v>
      </c>
      <c r="E7" s="4">
        <f t="shared" si="0"/>
        <v>14</v>
      </c>
      <c r="F7" s="4">
        <f t="shared" si="1"/>
        <v>16</v>
      </c>
      <c r="G7" s="1" t="s">
        <v>28</v>
      </c>
      <c r="H7" s="1" t="s">
        <v>28</v>
      </c>
      <c r="I7" s="1" t="s">
        <v>29</v>
      </c>
      <c r="J7" s="1" t="s">
        <v>28</v>
      </c>
      <c r="L7" s="14"/>
      <c r="M7" s="1" t="s">
        <v>28</v>
      </c>
      <c r="N7" s="1" t="s">
        <v>29</v>
      </c>
      <c r="P7" s="1" t="s">
        <v>28</v>
      </c>
      <c r="Q7" s="1" t="s">
        <v>28</v>
      </c>
      <c r="S7" s="1" t="s">
        <v>28</v>
      </c>
      <c r="U7" s="1" t="s">
        <v>28</v>
      </c>
      <c r="V7" s="1" t="s">
        <v>28</v>
      </c>
      <c r="W7" s="1" t="s">
        <v>28</v>
      </c>
      <c r="Y7" s="1" t="s">
        <v>28</v>
      </c>
      <c r="AB7" s="1" t="s">
        <v>28</v>
      </c>
      <c r="AC7" s="1" t="s">
        <v>28</v>
      </c>
      <c r="AD7" s="1" t="s">
        <v>28</v>
      </c>
    </row>
    <row r="8" spans="1:30" x14ac:dyDescent="0.7">
      <c r="B8" s="1" t="s">
        <v>38</v>
      </c>
      <c r="C8" s="14" t="s">
        <v>39</v>
      </c>
      <c r="D8" s="1" t="s">
        <v>40</v>
      </c>
      <c r="E8" s="4">
        <f t="shared" si="0"/>
        <v>14</v>
      </c>
      <c r="F8" s="4">
        <f t="shared" si="1"/>
        <v>16</v>
      </c>
      <c r="G8" s="1" t="s">
        <v>28</v>
      </c>
      <c r="H8" s="1" t="s">
        <v>28</v>
      </c>
      <c r="I8" s="1" t="s">
        <v>29</v>
      </c>
      <c r="J8" s="1" t="s">
        <v>28</v>
      </c>
      <c r="L8" s="14"/>
      <c r="M8" s="1" t="s">
        <v>28</v>
      </c>
      <c r="N8" s="1" t="s">
        <v>29</v>
      </c>
      <c r="P8" s="1" t="s">
        <v>28</v>
      </c>
      <c r="Q8" s="1" t="s">
        <v>28</v>
      </c>
      <c r="S8" s="1" t="s">
        <v>28</v>
      </c>
      <c r="U8" s="1" t="s">
        <v>28</v>
      </c>
      <c r="V8" s="1" t="s">
        <v>28</v>
      </c>
      <c r="W8" s="1" t="s">
        <v>28</v>
      </c>
      <c r="Y8" s="1" t="s">
        <v>28</v>
      </c>
      <c r="AB8" s="1" t="s">
        <v>28</v>
      </c>
      <c r="AC8" s="1" t="s">
        <v>28</v>
      </c>
      <c r="AD8" s="1" t="s">
        <v>28</v>
      </c>
    </row>
    <row r="9" spans="1:30" x14ac:dyDescent="0.7">
      <c r="B9" s="1" t="s">
        <v>41</v>
      </c>
      <c r="C9" s="14" t="s">
        <v>42</v>
      </c>
      <c r="D9" s="1" t="s">
        <v>40</v>
      </c>
      <c r="E9" s="4">
        <f t="shared" si="0"/>
        <v>14</v>
      </c>
      <c r="F9" s="4">
        <f t="shared" si="1"/>
        <v>16</v>
      </c>
      <c r="G9" s="1" t="s">
        <v>28</v>
      </c>
      <c r="H9" s="1" t="s">
        <v>28</v>
      </c>
      <c r="I9" s="1" t="s">
        <v>29</v>
      </c>
      <c r="J9" s="1" t="s">
        <v>28</v>
      </c>
      <c r="L9" s="14"/>
      <c r="M9" s="1" t="s">
        <v>28</v>
      </c>
      <c r="N9" s="1" t="s">
        <v>29</v>
      </c>
      <c r="P9" s="1" t="s">
        <v>28</v>
      </c>
      <c r="Q9" s="1" t="s">
        <v>28</v>
      </c>
      <c r="S9" s="1" t="s">
        <v>28</v>
      </c>
      <c r="U9" s="1" t="s">
        <v>28</v>
      </c>
      <c r="V9" s="1" t="s">
        <v>28</v>
      </c>
      <c r="W9" s="1" t="s">
        <v>28</v>
      </c>
      <c r="Y9" s="1" t="s">
        <v>28</v>
      </c>
      <c r="AB9" s="1" t="s">
        <v>28</v>
      </c>
      <c r="AC9" s="1" t="s">
        <v>28</v>
      </c>
      <c r="AD9" s="1" t="s">
        <v>28</v>
      </c>
    </row>
    <row r="10" spans="1:30" x14ac:dyDescent="0.7">
      <c r="B10" s="1" t="s">
        <v>43</v>
      </c>
      <c r="C10" s="14" t="s">
        <v>44</v>
      </c>
      <c r="D10" s="1" t="s">
        <v>40</v>
      </c>
      <c r="E10" s="4">
        <f t="shared" si="0"/>
        <v>14</v>
      </c>
      <c r="F10" s="4">
        <f t="shared" si="1"/>
        <v>16</v>
      </c>
      <c r="G10" s="1" t="s">
        <v>28</v>
      </c>
      <c r="H10" s="1" t="s">
        <v>28</v>
      </c>
      <c r="I10" s="1" t="s">
        <v>29</v>
      </c>
      <c r="J10" s="1" t="s">
        <v>28</v>
      </c>
      <c r="L10" s="14"/>
      <c r="M10" s="1" t="s">
        <v>28</v>
      </c>
      <c r="N10" s="1" t="s">
        <v>29</v>
      </c>
      <c r="P10" s="1" t="s">
        <v>28</v>
      </c>
      <c r="Q10" s="1" t="s">
        <v>28</v>
      </c>
      <c r="S10" s="1" t="s">
        <v>28</v>
      </c>
      <c r="U10" s="1" t="s">
        <v>28</v>
      </c>
      <c r="V10" s="1" t="s">
        <v>28</v>
      </c>
      <c r="W10" s="1" t="s">
        <v>28</v>
      </c>
      <c r="Y10" s="1" t="s">
        <v>28</v>
      </c>
      <c r="AB10" s="1" t="s">
        <v>28</v>
      </c>
      <c r="AC10" s="1" t="s">
        <v>28</v>
      </c>
      <c r="AD10" s="1" t="s">
        <v>28</v>
      </c>
    </row>
    <row r="11" spans="1:30" x14ac:dyDescent="0.7">
      <c r="B11" s="1" t="s">
        <v>45</v>
      </c>
      <c r="C11" s="14" t="s">
        <v>46</v>
      </c>
      <c r="D11" s="1" t="s">
        <v>47</v>
      </c>
      <c r="E11" s="4">
        <f t="shared" si="0"/>
        <v>14</v>
      </c>
      <c r="F11" s="4">
        <f t="shared" si="1"/>
        <v>16</v>
      </c>
      <c r="G11" s="1" t="s">
        <v>28</v>
      </c>
      <c r="H11" s="1" t="s">
        <v>28</v>
      </c>
      <c r="I11" s="1" t="s">
        <v>29</v>
      </c>
      <c r="J11" s="1" t="s">
        <v>28</v>
      </c>
      <c r="L11" s="14"/>
      <c r="M11" s="1" t="s">
        <v>28</v>
      </c>
      <c r="N11" s="1" t="s">
        <v>29</v>
      </c>
      <c r="P11" s="1" t="s">
        <v>28</v>
      </c>
      <c r="Q11" s="1" t="s">
        <v>28</v>
      </c>
      <c r="S11" s="1" t="s">
        <v>28</v>
      </c>
      <c r="U11" s="1" t="s">
        <v>28</v>
      </c>
      <c r="V11" s="1" t="s">
        <v>28</v>
      </c>
      <c r="W11" s="1" t="s">
        <v>28</v>
      </c>
      <c r="Y11" s="1" t="s">
        <v>28</v>
      </c>
      <c r="AB11" s="1" t="s">
        <v>28</v>
      </c>
      <c r="AC11" s="1" t="s">
        <v>28</v>
      </c>
      <c r="AD11" s="1" t="s">
        <v>28</v>
      </c>
    </row>
    <row r="12" spans="1:30" x14ac:dyDescent="0.7">
      <c r="B12" s="1" t="s">
        <v>48</v>
      </c>
      <c r="C12" s="14" t="s">
        <v>49</v>
      </c>
      <c r="D12" s="1" t="s">
        <v>47</v>
      </c>
      <c r="E12" s="4">
        <f t="shared" si="0"/>
        <v>14</v>
      </c>
      <c r="F12" s="4">
        <f t="shared" si="1"/>
        <v>16</v>
      </c>
      <c r="G12" s="1" t="s">
        <v>28</v>
      </c>
      <c r="H12" s="1" t="s">
        <v>28</v>
      </c>
      <c r="I12" s="1" t="s">
        <v>29</v>
      </c>
      <c r="J12" s="1" t="s">
        <v>28</v>
      </c>
      <c r="L12" s="14"/>
      <c r="M12" s="1" t="s">
        <v>28</v>
      </c>
      <c r="N12" s="1" t="s">
        <v>29</v>
      </c>
      <c r="P12" s="1" t="s">
        <v>28</v>
      </c>
      <c r="Q12" s="1" t="s">
        <v>28</v>
      </c>
      <c r="S12" s="1" t="s">
        <v>28</v>
      </c>
      <c r="U12" s="1" t="s">
        <v>28</v>
      </c>
      <c r="V12" s="1" t="s">
        <v>28</v>
      </c>
      <c r="W12" s="1" t="s">
        <v>28</v>
      </c>
      <c r="Y12" s="1" t="s">
        <v>28</v>
      </c>
      <c r="AB12" s="1" t="s">
        <v>28</v>
      </c>
      <c r="AC12" s="1" t="s">
        <v>28</v>
      </c>
      <c r="AD12" s="1" t="s">
        <v>28</v>
      </c>
    </row>
    <row r="13" spans="1:30" x14ac:dyDescent="0.7">
      <c r="B13" s="1" t="s">
        <v>51</v>
      </c>
      <c r="C13" s="14" t="s">
        <v>52</v>
      </c>
      <c r="D13" s="1" t="s">
        <v>50</v>
      </c>
      <c r="E13" s="4">
        <f t="shared" si="0"/>
        <v>13</v>
      </c>
      <c r="F13" s="4">
        <f t="shared" si="1"/>
        <v>15</v>
      </c>
      <c r="G13" s="1" t="s">
        <v>28</v>
      </c>
      <c r="H13" s="1" t="s">
        <v>28</v>
      </c>
      <c r="I13" s="1" t="s">
        <v>29</v>
      </c>
      <c r="J13" s="1" t="s">
        <v>28</v>
      </c>
      <c r="L13" s="14"/>
      <c r="M13" s="1" t="s">
        <v>28</v>
      </c>
      <c r="N13" s="1" t="s">
        <v>29</v>
      </c>
      <c r="P13" s="1" t="s">
        <v>28</v>
      </c>
      <c r="Q13" s="1" t="s">
        <v>28</v>
      </c>
      <c r="S13" s="1" t="s">
        <v>28</v>
      </c>
      <c r="U13" s="1" t="s">
        <v>28</v>
      </c>
      <c r="V13" s="1" t="s">
        <v>28</v>
      </c>
      <c r="W13" s="1" t="s">
        <v>28</v>
      </c>
      <c r="AB13" s="1" t="s">
        <v>28</v>
      </c>
      <c r="AC13" s="1" t="s">
        <v>28</v>
      </c>
      <c r="AD13" s="1" t="s">
        <v>28</v>
      </c>
    </row>
    <row r="14" spans="1:30" x14ac:dyDescent="0.7">
      <c r="B14" s="1" t="s">
        <v>53</v>
      </c>
      <c r="C14" s="14" t="s">
        <v>54</v>
      </c>
      <c r="D14" s="1" t="s">
        <v>55</v>
      </c>
      <c r="E14" s="4">
        <f t="shared" si="0"/>
        <v>14</v>
      </c>
      <c r="F14" s="4">
        <f t="shared" si="1"/>
        <v>16</v>
      </c>
      <c r="G14" s="1" t="s">
        <v>28</v>
      </c>
      <c r="H14" s="1" t="s">
        <v>28</v>
      </c>
      <c r="I14" s="1" t="s">
        <v>29</v>
      </c>
      <c r="J14" s="1" t="s">
        <v>28</v>
      </c>
      <c r="L14" s="14"/>
      <c r="M14" s="1" t="s">
        <v>28</v>
      </c>
      <c r="N14" s="1" t="s">
        <v>29</v>
      </c>
      <c r="P14" s="1" t="s">
        <v>28</v>
      </c>
      <c r="Q14" s="1" t="s">
        <v>28</v>
      </c>
      <c r="S14" s="1" t="s">
        <v>28</v>
      </c>
      <c r="U14" s="1" t="s">
        <v>28</v>
      </c>
      <c r="V14" s="1" t="s">
        <v>28</v>
      </c>
      <c r="W14" s="1" t="s">
        <v>28</v>
      </c>
      <c r="Y14" s="1" t="s">
        <v>28</v>
      </c>
      <c r="AB14" s="1" t="s">
        <v>28</v>
      </c>
      <c r="AC14" s="1" t="s">
        <v>28</v>
      </c>
      <c r="AD14" s="1" t="s">
        <v>28</v>
      </c>
    </row>
    <row r="15" spans="1:30" x14ac:dyDescent="0.7">
      <c r="B15" s="1" t="s">
        <v>56</v>
      </c>
      <c r="C15" s="14" t="s">
        <v>57</v>
      </c>
      <c r="D15" s="1" t="s">
        <v>58</v>
      </c>
      <c r="E15" s="4">
        <f t="shared" si="0"/>
        <v>13</v>
      </c>
      <c r="F15" s="4">
        <f t="shared" si="1"/>
        <v>16</v>
      </c>
      <c r="G15" s="1" t="s">
        <v>28</v>
      </c>
      <c r="H15" s="1" t="s">
        <v>28</v>
      </c>
      <c r="I15" s="1" t="s">
        <v>29</v>
      </c>
      <c r="J15" s="1" t="s">
        <v>28</v>
      </c>
      <c r="L15" s="14"/>
      <c r="N15" s="1" t="s">
        <v>29</v>
      </c>
      <c r="O15" s="1" t="s">
        <v>29</v>
      </c>
      <c r="P15" s="1" t="s">
        <v>28</v>
      </c>
      <c r="Q15" s="1" t="s">
        <v>28</v>
      </c>
      <c r="S15" s="1" t="s">
        <v>28</v>
      </c>
      <c r="U15" s="1" t="s">
        <v>28</v>
      </c>
      <c r="V15" s="1" t="s">
        <v>28</v>
      </c>
      <c r="W15" s="1" t="s">
        <v>28</v>
      </c>
      <c r="Y15" s="1" t="s">
        <v>28</v>
      </c>
      <c r="AB15" s="1" t="s">
        <v>28</v>
      </c>
      <c r="AC15" s="1" t="s">
        <v>28</v>
      </c>
      <c r="AD15" s="1" t="s">
        <v>28</v>
      </c>
    </row>
    <row r="16" spans="1:30" x14ac:dyDescent="0.7">
      <c r="B16" s="1" t="s">
        <v>59</v>
      </c>
      <c r="C16" s="14" t="s">
        <v>60</v>
      </c>
      <c r="D16" s="1" t="s">
        <v>58</v>
      </c>
      <c r="E16" s="4">
        <f t="shared" si="0"/>
        <v>13</v>
      </c>
      <c r="F16" s="4">
        <f t="shared" si="1"/>
        <v>16</v>
      </c>
      <c r="G16" s="1" t="s">
        <v>28</v>
      </c>
      <c r="H16" s="1" t="s">
        <v>28</v>
      </c>
      <c r="I16" s="1" t="s">
        <v>29</v>
      </c>
      <c r="J16" s="1" t="s">
        <v>28</v>
      </c>
      <c r="L16" s="14"/>
      <c r="N16" s="1" t="s">
        <v>29</v>
      </c>
      <c r="O16" s="1" t="s">
        <v>29</v>
      </c>
      <c r="P16" s="1" t="s">
        <v>28</v>
      </c>
      <c r="Q16" s="1" t="s">
        <v>28</v>
      </c>
      <c r="S16" s="1" t="s">
        <v>28</v>
      </c>
      <c r="U16" s="1" t="s">
        <v>28</v>
      </c>
      <c r="V16" s="1" t="s">
        <v>28</v>
      </c>
      <c r="W16" s="1" t="s">
        <v>28</v>
      </c>
      <c r="Y16" s="1" t="s">
        <v>28</v>
      </c>
      <c r="AB16" s="1" t="s">
        <v>28</v>
      </c>
      <c r="AC16" s="1" t="s">
        <v>28</v>
      </c>
      <c r="AD16" s="1" t="s">
        <v>28</v>
      </c>
    </row>
    <row r="17" spans="2:30" x14ac:dyDescent="0.7">
      <c r="B17" s="1" t="s">
        <v>61</v>
      </c>
      <c r="C17" s="14" t="s">
        <v>62</v>
      </c>
      <c r="D17" s="1" t="s">
        <v>58</v>
      </c>
      <c r="E17" s="4">
        <f t="shared" si="0"/>
        <v>13</v>
      </c>
      <c r="F17" s="4">
        <f t="shared" si="1"/>
        <v>16</v>
      </c>
      <c r="G17" s="1" t="s">
        <v>28</v>
      </c>
      <c r="H17" s="1" t="s">
        <v>28</v>
      </c>
      <c r="I17" s="1" t="s">
        <v>29</v>
      </c>
      <c r="J17" s="1" t="s">
        <v>28</v>
      </c>
      <c r="L17" s="14"/>
      <c r="N17" s="1" t="s">
        <v>29</v>
      </c>
      <c r="O17" s="1" t="s">
        <v>29</v>
      </c>
      <c r="P17" s="1" t="s">
        <v>28</v>
      </c>
      <c r="Q17" s="1" t="s">
        <v>28</v>
      </c>
      <c r="S17" s="1" t="s">
        <v>28</v>
      </c>
      <c r="U17" s="1" t="s">
        <v>28</v>
      </c>
      <c r="V17" s="1" t="s">
        <v>28</v>
      </c>
      <c r="W17" s="1" t="s">
        <v>28</v>
      </c>
      <c r="Y17" s="1" t="s">
        <v>28</v>
      </c>
      <c r="AB17" s="1" t="s">
        <v>28</v>
      </c>
      <c r="AC17" s="1" t="s">
        <v>28</v>
      </c>
      <c r="AD17" s="1"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2EE94-A510-4B14-BE69-6E22483173BC}">
  <dimension ref="A1:V37"/>
  <sheetViews>
    <sheetView topLeftCell="G1" workbookViewId="0">
      <selection activeCell="M10" sqref="M10"/>
    </sheetView>
  </sheetViews>
  <sheetFormatPr defaultColWidth="9.15625" defaultRowHeight="18.3" x14ac:dyDescent="0.7"/>
  <cols>
    <col min="1" max="1" width="7.68359375" style="16" bestFit="1" customWidth="1"/>
    <col min="2" max="2" width="40.68359375" style="16" bestFit="1" customWidth="1"/>
    <col min="3" max="3" width="10" style="16" bestFit="1" customWidth="1"/>
    <col min="4" max="4" width="18.15625" style="16" bestFit="1" customWidth="1"/>
    <col min="5" max="5" width="16.578125" style="16" bestFit="1" customWidth="1"/>
    <col min="6" max="6" width="16" style="16" bestFit="1" customWidth="1"/>
    <col min="7" max="7" width="26.68359375" style="16" bestFit="1" customWidth="1"/>
    <col min="8" max="8" width="52" style="16" bestFit="1" customWidth="1"/>
    <col min="9" max="9" width="15.41796875" style="16" bestFit="1" customWidth="1"/>
    <col min="10" max="10" width="13.68359375" style="16" bestFit="1" customWidth="1"/>
    <col min="11" max="11" width="28.41796875" style="16" bestFit="1" customWidth="1"/>
    <col min="12" max="12" width="11.68359375" style="16" bestFit="1" customWidth="1"/>
    <col min="13" max="13" width="13.05078125" style="16" bestFit="1" customWidth="1"/>
    <col min="14" max="14" width="15.578125" style="16" bestFit="1" customWidth="1"/>
    <col min="15" max="15" width="18.68359375" style="16" bestFit="1" customWidth="1"/>
    <col min="16" max="16" width="6.578125" style="16" bestFit="1" customWidth="1"/>
    <col min="17" max="17" width="27.68359375" style="16" bestFit="1" customWidth="1"/>
    <col min="18" max="18" width="37.15625" style="16" bestFit="1" customWidth="1"/>
    <col min="19" max="19" width="11.83984375" style="16" bestFit="1" customWidth="1"/>
    <col min="20" max="20" width="56.68359375" style="16" bestFit="1" customWidth="1"/>
    <col min="21" max="21" width="20.15625" style="16" bestFit="1" customWidth="1"/>
    <col min="22" max="22" width="34.68359375" style="16" bestFit="1" customWidth="1"/>
    <col min="23" max="23" width="19" style="16" customWidth="1"/>
    <col min="24" max="25" width="27" style="16" customWidth="1"/>
    <col min="26" max="26" width="31.68359375" style="16" bestFit="1" customWidth="1"/>
    <col min="27" max="27" width="16.15625" style="16" customWidth="1"/>
    <col min="28" max="28" width="12.578125" style="16" customWidth="1"/>
    <col min="29" max="29" width="31" style="16" customWidth="1"/>
    <col min="30" max="30" width="8.68359375" style="16" customWidth="1"/>
    <col min="31" max="31" width="23" style="16" customWidth="1"/>
    <col min="32" max="32" width="24.68359375" style="16" customWidth="1"/>
    <col min="33" max="33" width="52.15625" style="16" customWidth="1"/>
    <col min="34" max="34" width="25" style="16" customWidth="1"/>
    <col min="35" max="35" width="28" style="16" customWidth="1"/>
    <col min="36" max="36" width="27.83984375" style="16" customWidth="1"/>
    <col min="37" max="37" width="24.578125" style="16" customWidth="1"/>
    <col min="38" max="38" width="4.83984375" style="16" customWidth="1"/>
    <col min="39" max="39" width="7.578125" style="16" customWidth="1"/>
    <col min="40" max="40" width="17.15625" style="16" bestFit="1" customWidth="1"/>
    <col min="41" max="41" width="10.578125" style="16" customWidth="1"/>
    <col min="42" max="42" width="4.68359375" style="16" customWidth="1"/>
    <col min="43" max="43" width="22.68359375" style="16" customWidth="1"/>
    <col min="44" max="44" width="14.15625" style="16" customWidth="1"/>
    <col min="45" max="45" width="21.15625" style="16" bestFit="1" customWidth="1"/>
    <col min="46" max="47" width="16.68359375" style="16" customWidth="1"/>
    <col min="48" max="48" width="28.41796875" style="16" customWidth="1"/>
    <col min="49" max="49" width="41.15625" style="16" bestFit="1" customWidth="1"/>
    <col min="50" max="50" width="22.41796875" style="16" customWidth="1"/>
    <col min="51" max="51" width="27.578125" style="16" customWidth="1"/>
    <col min="52" max="52" width="13.578125" style="16" bestFit="1" customWidth="1"/>
    <col min="53" max="53" width="45.68359375" style="16" customWidth="1"/>
    <col min="54" max="58" width="20" style="16" customWidth="1"/>
    <col min="59" max="59" width="3.83984375" style="16" customWidth="1"/>
    <col min="60" max="60" width="64.15625" style="16" bestFit="1" customWidth="1"/>
    <col min="61" max="61" width="23.68359375" style="16" bestFit="1" customWidth="1"/>
    <col min="62" max="62" width="22.578125" style="16" customWidth="1"/>
    <col min="63" max="63" width="22.68359375" style="16" customWidth="1"/>
    <col min="64" max="64" width="46" style="16" customWidth="1"/>
    <col min="65" max="65" width="32.68359375" style="16" customWidth="1"/>
    <col min="66" max="66" width="38.68359375" style="16" bestFit="1" customWidth="1"/>
    <col min="67" max="67" width="19.83984375" style="16" customWidth="1"/>
    <col min="68" max="68" width="22.15625" style="16" customWidth="1"/>
    <col min="69" max="69" width="26.83984375" style="16" customWidth="1"/>
    <col min="70" max="70" width="33.41796875" style="16" customWidth="1"/>
    <col min="71" max="71" width="19.41796875" style="16" customWidth="1"/>
    <col min="72" max="72" width="38.68359375" style="16" customWidth="1"/>
    <col min="73" max="73" width="27.41796875" style="16" customWidth="1"/>
    <col min="74" max="74" width="15.83984375" style="16" customWidth="1"/>
    <col min="75" max="75" width="21" style="16" customWidth="1"/>
    <col min="76" max="76" width="9.578125" style="16" customWidth="1"/>
    <col min="77" max="77" width="12.41796875" style="16" customWidth="1"/>
    <col min="78" max="78" width="33.15625" style="16" customWidth="1"/>
    <col min="79" max="79" width="15.578125" style="16" customWidth="1"/>
    <col min="80" max="80" width="50.68359375" style="16" customWidth="1"/>
    <col min="81" max="81" width="41.15625" style="16" customWidth="1"/>
    <col min="82" max="82" width="62.578125" style="16" customWidth="1"/>
    <col min="83" max="83" width="32.68359375" style="16" customWidth="1"/>
    <col min="84" max="16384" width="9.15625" style="16"/>
  </cols>
  <sheetData>
    <row r="1" spans="1:22" x14ac:dyDescent="0.7">
      <c r="A1" s="15" t="s">
        <v>63</v>
      </c>
      <c r="C1" s="14"/>
    </row>
    <row r="2" spans="1:22" s="19" customFormat="1" x14ac:dyDescent="0.55000000000000004">
      <c r="A2" s="19" t="s">
        <v>1</v>
      </c>
      <c r="B2" s="19" t="s">
        <v>2</v>
      </c>
      <c r="C2" s="21" t="s">
        <v>3</v>
      </c>
      <c r="D2" s="19" t="s">
        <v>4</v>
      </c>
      <c r="E2" s="19" t="s">
        <v>5</v>
      </c>
      <c r="F2" s="19" t="s">
        <v>6</v>
      </c>
      <c r="G2" s="24" t="s">
        <v>64</v>
      </c>
      <c r="H2" s="24" t="s">
        <v>65</v>
      </c>
      <c r="I2" s="24" t="s">
        <v>7</v>
      </c>
      <c r="J2" s="24" t="s">
        <v>8</v>
      </c>
      <c r="K2" s="24" t="s">
        <v>66</v>
      </c>
      <c r="L2" s="24" t="s">
        <v>67</v>
      </c>
      <c r="M2" s="24" t="s">
        <v>300</v>
      </c>
      <c r="N2" s="24" t="s">
        <v>68</v>
      </c>
      <c r="O2" s="24" t="s">
        <v>11</v>
      </c>
      <c r="P2" s="24" t="s">
        <v>12</v>
      </c>
      <c r="Q2" s="24" t="s">
        <v>13</v>
      </c>
      <c r="R2" s="24" t="s">
        <v>69</v>
      </c>
      <c r="S2" s="24" t="s">
        <v>14</v>
      </c>
      <c r="T2" s="24" t="s">
        <v>70</v>
      </c>
      <c r="U2" s="24" t="s">
        <v>291</v>
      </c>
      <c r="V2" s="24" t="s">
        <v>71</v>
      </c>
    </row>
    <row r="3" spans="1:22" x14ac:dyDescent="0.7">
      <c r="B3" s="16" t="s">
        <v>72</v>
      </c>
      <c r="C3" s="17" t="s">
        <v>73</v>
      </c>
      <c r="D3" s="16" t="s">
        <v>27</v>
      </c>
      <c r="E3" s="25">
        <f>COUNTIF(G3:YA3,"Yes")</f>
        <v>10</v>
      </c>
      <c r="F3" s="16">
        <f>SUM(E3,COUNTIF(G3:YA3,"Client"))</f>
        <v>12</v>
      </c>
      <c r="H3" s="16" t="s">
        <v>28</v>
      </c>
      <c r="I3" s="16" t="s">
        <v>28</v>
      </c>
      <c r="J3" s="16" t="s">
        <v>29</v>
      </c>
      <c r="K3" s="16" t="s">
        <v>28</v>
      </c>
      <c r="L3" s="16" t="s">
        <v>28</v>
      </c>
      <c r="M3" s="14"/>
      <c r="O3" s="16" t="s">
        <v>28</v>
      </c>
      <c r="P3" s="16" t="s">
        <v>29</v>
      </c>
      <c r="R3" s="16" t="s">
        <v>28</v>
      </c>
      <c r="S3" s="16" t="s">
        <v>28</v>
      </c>
      <c r="T3" s="16" t="s">
        <v>28</v>
      </c>
      <c r="U3" s="16" t="s">
        <v>28</v>
      </c>
      <c r="V3" s="16" t="s">
        <v>28</v>
      </c>
    </row>
    <row r="4" spans="1:22" x14ac:dyDescent="0.7">
      <c r="B4" s="16" t="s">
        <v>74</v>
      </c>
      <c r="C4" s="17" t="s">
        <v>75</v>
      </c>
      <c r="D4" s="16" t="s">
        <v>27</v>
      </c>
      <c r="E4" s="25">
        <f t="shared" ref="E4:E14" si="0">COUNTIF(G4:YA4,"Yes")</f>
        <v>10</v>
      </c>
      <c r="F4" s="16">
        <f t="shared" ref="F4:F14" si="1">SUM(E4,COUNTIF(G4:YA4,"Client"))</f>
        <v>12</v>
      </c>
      <c r="H4" s="16" t="s">
        <v>28</v>
      </c>
      <c r="I4" s="16" t="s">
        <v>28</v>
      </c>
      <c r="J4" s="16" t="s">
        <v>29</v>
      </c>
      <c r="K4" s="16" t="s">
        <v>28</v>
      </c>
      <c r="L4" s="16" t="s">
        <v>28</v>
      </c>
      <c r="M4" s="14"/>
      <c r="O4" s="16" t="s">
        <v>28</v>
      </c>
      <c r="P4" s="16" t="s">
        <v>29</v>
      </c>
      <c r="R4" s="16" t="s">
        <v>28</v>
      </c>
      <c r="S4" s="16" t="s">
        <v>28</v>
      </c>
      <c r="T4" s="16" t="s">
        <v>28</v>
      </c>
      <c r="U4" s="16" t="s">
        <v>28</v>
      </c>
      <c r="V4" s="16" t="s">
        <v>28</v>
      </c>
    </row>
    <row r="5" spans="1:22" x14ac:dyDescent="0.7">
      <c r="B5" s="16" t="s">
        <v>76</v>
      </c>
      <c r="C5" s="17" t="s">
        <v>77</v>
      </c>
      <c r="D5" s="16" t="s">
        <v>27</v>
      </c>
      <c r="E5" s="25">
        <f t="shared" si="0"/>
        <v>10</v>
      </c>
      <c r="F5" s="16">
        <f t="shared" si="1"/>
        <v>12</v>
      </c>
      <c r="H5" s="16" t="s">
        <v>28</v>
      </c>
      <c r="I5" s="16" t="s">
        <v>28</v>
      </c>
      <c r="J5" s="16" t="s">
        <v>29</v>
      </c>
      <c r="K5" s="16" t="s">
        <v>28</v>
      </c>
      <c r="L5" s="16" t="s">
        <v>28</v>
      </c>
      <c r="M5" s="14"/>
      <c r="O5" s="16" t="s">
        <v>28</v>
      </c>
      <c r="P5" s="16" t="s">
        <v>29</v>
      </c>
      <c r="R5" s="16" t="s">
        <v>28</v>
      </c>
      <c r="S5" s="16" t="s">
        <v>28</v>
      </c>
      <c r="T5" s="16" t="s">
        <v>28</v>
      </c>
      <c r="U5" s="16" t="s">
        <v>28</v>
      </c>
      <c r="V5" s="16" t="s">
        <v>28</v>
      </c>
    </row>
    <row r="6" spans="1:22" x14ac:dyDescent="0.7">
      <c r="B6" s="16" t="s">
        <v>78</v>
      </c>
      <c r="C6" s="17" t="s">
        <v>79</v>
      </c>
      <c r="D6" s="16" t="s">
        <v>33</v>
      </c>
      <c r="E6" s="25">
        <f t="shared" si="0"/>
        <v>10</v>
      </c>
      <c r="F6" s="16">
        <f t="shared" si="1"/>
        <v>12</v>
      </c>
      <c r="H6" s="16" t="s">
        <v>28</v>
      </c>
      <c r="I6" s="16" t="s">
        <v>28</v>
      </c>
      <c r="J6" s="16" t="s">
        <v>29</v>
      </c>
      <c r="K6" s="16" t="s">
        <v>28</v>
      </c>
      <c r="L6" s="16" t="s">
        <v>28</v>
      </c>
      <c r="M6" s="14"/>
      <c r="O6" s="16" t="s">
        <v>28</v>
      </c>
      <c r="P6" s="16" t="s">
        <v>29</v>
      </c>
      <c r="R6" s="16" t="s">
        <v>28</v>
      </c>
      <c r="S6" s="16" t="s">
        <v>28</v>
      </c>
      <c r="T6" s="16" t="s">
        <v>28</v>
      </c>
      <c r="U6" s="16" t="s">
        <v>28</v>
      </c>
      <c r="V6" s="16" t="s">
        <v>28</v>
      </c>
    </row>
    <row r="7" spans="1:22" x14ac:dyDescent="0.7">
      <c r="B7" s="16" t="s">
        <v>80</v>
      </c>
      <c r="C7" s="17" t="s">
        <v>81</v>
      </c>
      <c r="D7" s="16" t="s">
        <v>33</v>
      </c>
      <c r="E7" s="25">
        <f t="shared" si="0"/>
        <v>10</v>
      </c>
      <c r="F7" s="16">
        <f t="shared" si="1"/>
        <v>12</v>
      </c>
      <c r="H7" s="16" t="s">
        <v>28</v>
      </c>
      <c r="I7" s="16" t="s">
        <v>28</v>
      </c>
      <c r="J7" s="16" t="s">
        <v>29</v>
      </c>
      <c r="K7" s="16" t="s">
        <v>28</v>
      </c>
      <c r="L7" s="16" t="s">
        <v>28</v>
      </c>
      <c r="M7" s="14"/>
      <c r="O7" s="16" t="s">
        <v>28</v>
      </c>
      <c r="P7" s="16" t="s">
        <v>29</v>
      </c>
      <c r="R7" s="16" t="s">
        <v>28</v>
      </c>
      <c r="S7" s="16" t="s">
        <v>28</v>
      </c>
      <c r="T7" s="16" t="s">
        <v>28</v>
      </c>
      <c r="U7" s="16" t="s">
        <v>28</v>
      </c>
      <c r="V7" s="16" t="s">
        <v>28</v>
      </c>
    </row>
    <row r="8" spans="1:22" x14ac:dyDescent="0.7">
      <c r="B8" s="16" t="s">
        <v>82</v>
      </c>
      <c r="C8" s="17" t="s">
        <v>83</v>
      </c>
      <c r="D8" s="16" t="s">
        <v>33</v>
      </c>
      <c r="E8" s="25">
        <f t="shared" si="0"/>
        <v>11</v>
      </c>
      <c r="F8" s="16">
        <f t="shared" si="1"/>
        <v>14</v>
      </c>
      <c r="H8" s="16" t="s">
        <v>28</v>
      </c>
      <c r="I8" s="16" t="s">
        <v>28</v>
      </c>
      <c r="J8" s="16" t="s">
        <v>29</v>
      </c>
      <c r="K8" s="16" t="s">
        <v>28</v>
      </c>
      <c r="L8" s="16" t="s">
        <v>28</v>
      </c>
      <c r="M8" s="16" t="s">
        <v>28</v>
      </c>
      <c r="O8" s="16" t="s">
        <v>28</v>
      </c>
      <c r="P8" s="16" t="s">
        <v>29</v>
      </c>
      <c r="Q8" s="16" t="s">
        <v>29</v>
      </c>
      <c r="R8" s="16" t="s">
        <v>28</v>
      </c>
      <c r="S8" s="16" t="s">
        <v>28</v>
      </c>
      <c r="T8" s="16" t="s">
        <v>28</v>
      </c>
      <c r="U8" s="16" t="s">
        <v>28</v>
      </c>
      <c r="V8" s="16" t="s">
        <v>28</v>
      </c>
    </row>
    <row r="9" spans="1:22" x14ac:dyDescent="0.7">
      <c r="B9" s="16" t="s">
        <v>84</v>
      </c>
      <c r="C9" s="17" t="s">
        <v>85</v>
      </c>
      <c r="D9" s="16" t="s">
        <v>40</v>
      </c>
      <c r="E9" s="25">
        <f t="shared" si="0"/>
        <v>10</v>
      </c>
      <c r="F9" s="16">
        <f t="shared" si="1"/>
        <v>12</v>
      </c>
      <c r="H9" s="16" t="s">
        <v>28</v>
      </c>
      <c r="I9" s="16" t="s">
        <v>28</v>
      </c>
      <c r="J9" s="16" t="s">
        <v>29</v>
      </c>
      <c r="K9" s="16" t="s">
        <v>28</v>
      </c>
      <c r="L9" s="16" t="s">
        <v>28</v>
      </c>
      <c r="O9" s="16" t="s">
        <v>28</v>
      </c>
      <c r="P9" s="16" t="s">
        <v>29</v>
      </c>
      <c r="R9" s="16" t="s">
        <v>28</v>
      </c>
      <c r="S9" s="16" t="s">
        <v>28</v>
      </c>
      <c r="T9" s="16" t="s">
        <v>28</v>
      </c>
      <c r="U9" s="16" t="s">
        <v>28</v>
      </c>
      <c r="V9" s="16" t="s">
        <v>28</v>
      </c>
    </row>
    <row r="10" spans="1:22" x14ac:dyDescent="0.7">
      <c r="B10" s="16" t="s">
        <v>86</v>
      </c>
      <c r="C10" s="17" t="s">
        <v>87</v>
      </c>
      <c r="D10" s="16" t="s">
        <v>40</v>
      </c>
      <c r="E10" s="25">
        <f t="shared" si="0"/>
        <v>11</v>
      </c>
      <c r="F10" s="16">
        <f t="shared" si="1"/>
        <v>13</v>
      </c>
      <c r="H10" s="16" t="s">
        <v>28</v>
      </c>
      <c r="I10" s="16" t="s">
        <v>28</v>
      </c>
      <c r="J10" s="16" t="s">
        <v>29</v>
      </c>
      <c r="K10" s="16" t="s">
        <v>28</v>
      </c>
      <c r="L10" s="16" t="s">
        <v>28</v>
      </c>
      <c r="M10" s="16" t="s">
        <v>28</v>
      </c>
      <c r="O10" s="16" t="s">
        <v>28</v>
      </c>
      <c r="P10" s="16" t="s">
        <v>29</v>
      </c>
      <c r="R10" s="16" t="s">
        <v>28</v>
      </c>
      <c r="S10" s="16" t="s">
        <v>28</v>
      </c>
      <c r="T10" s="16" t="s">
        <v>28</v>
      </c>
      <c r="U10" s="16" t="s">
        <v>28</v>
      </c>
      <c r="V10" s="16" t="s">
        <v>28</v>
      </c>
    </row>
    <row r="11" spans="1:22" x14ac:dyDescent="0.7">
      <c r="B11" s="16" t="s">
        <v>88</v>
      </c>
      <c r="C11" s="17" t="s">
        <v>89</v>
      </c>
      <c r="D11" s="16" t="s">
        <v>40</v>
      </c>
      <c r="E11" s="25">
        <f t="shared" si="0"/>
        <v>10</v>
      </c>
      <c r="F11" s="16">
        <f t="shared" si="1"/>
        <v>12</v>
      </c>
      <c r="H11" s="16" t="s">
        <v>28</v>
      </c>
      <c r="I11" s="16" t="s">
        <v>28</v>
      </c>
      <c r="J11" s="16" t="s">
        <v>29</v>
      </c>
      <c r="K11" s="16" t="s">
        <v>28</v>
      </c>
      <c r="L11" s="16" t="s">
        <v>28</v>
      </c>
      <c r="O11" s="16" t="s">
        <v>28</v>
      </c>
      <c r="P11" s="16" t="s">
        <v>29</v>
      </c>
      <c r="R11" s="16" t="s">
        <v>28</v>
      </c>
      <c r="S11" s="16" t="s">
        <v>28</v>
      </c>
      <c r="T11" s="16" t="s">
        <v>28</v>
      </c>
      <c r="U11" s="16" t="s">
        <v>28</v>
      </c>
      <c r="V11" s="16" t="s">
        <v>28</v>
      </c>
    </row>
    <row r="12" spans="1:22" x14ac:dyDescent="0.7">
      <c r="B12" s="16" t="s">
        <v>90</v>
      </c>
      <c r="C12" s="17" t="s">
        <v>91</v>
      </c>
      <c r="D12" s="16" t="s">
        <v>47</v>
      </c>
      <c r="E12" s="25">
        <f t="shared" si="0"/>
        <v>10</v>
      </c>
      <c r="F12" s="16">
        <f t="shared" si="1"/>
        <v>12</v>
      </c>
      <c r="H12" s="16" t="s">
        <v>28</v>
      </c>
      <c r="I12" s="16" t="s">
        <v>28</v>
      </c>
      <c r="J12" s="16" t="s">
        <v>29</v>
      </c>
      <c r="K12" s="16" t="s">
        <v>28</v>
      </c>
      <c r="L12" s="16" t="s">
        <v>28</v>
      </c>
      <c r="O12" s="16" t="s">
        <v>28</v>
      </c>
      <c r="P12" s="16" t="s">
        <v>29</v>
      </c>
      <c r="R12" s="16" t="s">
        <v>28</v>
      </c>
      <c r="S12" s="16" t="s">
        <v>28</v>
      </c>
      <c r="T12" s="16" t="s">
        <v>28</v>
      </c>
      <c r="U12" s="16" t="s">
        <v>28</v>
      </c>
      <c r="V12" s="16" t="s">
        <v>28</v>
      </c>
    </row>
    <row r="13" spans="1:22" x14ac:dyDescent="0.7">
      <c r="B13" s="16" t="s">
        <v>92</v>
      </c>
      <c r="C13" s="17" t="s">
        <v>93</v>
      </c>
      <c r="D13" s="16" t="s">
        <v>47</v>
      </c>
      <c r="E13" s="25">
        <f t="shared" si="0"/>
        <v>10</v>
      </c>
      <c r="F13" s="16">
        <f t="shared" si="1"/>
        <v>12</v>
      </c>
      <c r="H13" s="16" t="s">
        <v>28</v>
      </c>
      <c r="I13" s="16" t="s">
        <v>28</v>
      </c>
      <c r="J13" s="16" t="s">
        <v>29</v>
      </c>
      <c r="K13" s="16" t="s">
        <v>28</v>
      </c>
      <c r="L13" s="16" t="s">
        <v>28</v>
      </c>
      <c r="O13" s="16" t="s">
        <v>28</v>
      </c>
      <c r="P13" s="16" t="s">
        <v>29</v>
      </c>
      <c r="R13" s="16" t="s">
        <v>28</v>
      </c>
      <c r="S13" s="16" t="s">
        <v>28</v>
      </c>
      <c r="T13" s="16" t="s">
        <v>28</v>
      </c>
      <c r="U13" s="16" t="s">
        <v>28</v>
      </c>
      <c r="V13" s="16" t="s">
        <v>28</v>
      </c>
    </row>
    <row r="14" spans="1:22" x14ac:dyDescent="0.7">
      <c r="B14" s="16" t="s">
        <v>94</v>
      </c>
      <c r="C14" s="17" t="s">
        <v>95</v>
      </c>
      <c r="D14" s="16" t="s">
        <v>47</v>
      </c>
      <c r="E14" s="25">
        <f t="shared" si="0"/>
        <v>10</v>
      </c>
      <c r="F14" s="16">
        <f t="shared" si="1"/>
        <v>12</v>
      </c>
      <c r="H14" s="16" t="s">
        <v>28</v>
      </c>
      <c r="I14" s="16" t="s">
        <v>28</v>
      </c>
      <c r="J14" s="16" t="s">
        <v>29</v>
      </c>
      <c r="K14" s="16" t="s">
        <v>28</v>
      </c>
      <c r="L14" s="16" t="s">
        <v>28</v>
      </c>
      <c r="O14" s="16" t="s">
        <v>28</v>
      </c>
      <c r="P14" s="16" t="s">
        <v>29</v>
      </c>
      <c r="R14" s="16" t="s">
        <v>28</v>
      </c>
      <c r="S14" s="16" t="s">
        <v>28</v>
      </c>
      <c r="T14" s="16" t="s">
        <v>28</v>
      </c>
      <c r="U14" s="16" t="s">
        <v>28</v>
      </c>
      <c r="V14" s="16" t="s">
        <v>28</v>
      </c>
    </row>
    <row r="15" spans="1:22" x14ac:dyDescent="0.7">
      <c r="C15" s="14"/>
    </row>
    <row r="16" spans="1:22" x14ac:dyDescent="0.7">
      <c r="C16" s="14"/>
    </row>
    <row r="17" spans="3:3" x14ac:dyDescent="0.7">
      <c r="C17" s="14"/>
    </row>
    <row r="18" spans="3:3" x14ac:dyDescent="0.7">
      <c r="C18" s="14"/>
    </row>
    <row r="19" spans="3:3" x14ac:dyDescent="0.7">
      <c r="C19" s="14"/>
    </row>
    <row r="20" spans="3:3" x14ac:dyDescent="0.7">
      <c r="C20" s="14"/>
    </row>
    <row r="21" spans="3:3" x14ac:dyDescent="0.7">
      <c r="C21" s="14"/>
    </row>
    <row r="22" spans="3:3" x14ac:dyDescent="0.7">
      <c r="C22" s="14"/>
    </row>
    <row r="23" spans="3:3" x14ac:dyDescent="0.7">
      <c r="C23" s="14"/>
    </row>
    <row r="24" spans="3:3" x14ac:dyDescent="0.7">
      <c r="C24" s="14"/>
    </row>
    <row r="25" spans="3:3" x14ac:dyDescent="0.7">
      <c r="C25" s="14"/>
    </row>
    <row r="26" spans="3:3" x14ac:dyDescent="0.7">
      <c r="C26" s="14"/>
    </row>
    <row r="27" spans="3:3" x14ac:dyDescent="0.7">
      <c r="C27" s="14"/>
    </row>
    <row r="28" spans="3:3" x14ac:dyDescent="0.7">
      <c r="C28" s="14"/>
    </row>
    <row r="29" spans="3:3" x14ac:dyDescent="0.7">
      <c r="C29" s="14"/>
    </row>
    <row r="30" spans="3:3" x14ac:dyDescent="0.7">
      <c r="C30" s="14"/>
    </row>
    <row r="31" spans="3:3" x14ac:dyDescent="0.7">
      <c r="C31" s="14"/>
    </row>
    <row r="32" spans="3:3" x14ac:dyDescent="0.7">
      <c r="C32" s="14"/>
    </row>
    <row r="33" spans="3:3" x14ac:dyDescent="0.7">
      <c r="C33" s="14"/>
    </row>
    <row r="34" spans="3:3" x14ac:dyDescent="0.7">
      <c r="C34" s="14"/>
    </row>
    <row r="35" spans="3:3" x14ac:dyDescent="0.7">
      <c r="C35" s="14"/>
    </row>
    <row r="36" spans="3:3" x14ac:dyDescent="0.7">
      <c r="C36" s="14" t="str">
        <f t="shared" ref="C36" si="2">UPPER(C16)</f>
        <v/>
      </c>
    </row>
    <row r="37" spans="3:3" x14ac:dyDescent="0.7">
      <c r="C37"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83E68-24DD-470B-89EA-B25685F45D60}">
  <dimension ref="A1:CR13"/>
  <sheetViews>
    <sheetView topLeftCell="AM1" workbookViewId="0">
      <selection activeCell="B13" sqref="B13"/>
    </sheetView>
  </sheetViews>
  <sheetFormatPr defaultColWidth="9.15625" defaultRowHeight="18.3" x14ac:dyDescent="0.7"/>
  <cols>
    <col min="1" max="1" width="7.68359375" style="1" bestFit="1" customWidth="1"/>
    <col min="2" max="2" width="77.15625" style="1" bestFit="1" customWidth="1"/>
    <col min="3" max="3" width="16.68359375" style="1" bestFit="1" customWidth="1"/>
    <col min="4" max="4" width="18" style="1" bestFit="1" customWidth="1"/>
    <col min="5" max="5" width="16.578125" style="1" bestFit="1" customWidth="1"/>
    <col min="6" max="6" width="16" style="1" bestFit="1" customWidth="1"/>
    <col min="7" max="7" width="40.15625" style="1" bestFit="1" customWidth="1"/>
    <col min="8" max="8" width="40.578125" style="1" bestFit="1" customWidth="1"/>
    <col min="9" max="9" width="26.41796875" style="1" bestFit="1" customWidth="1"/>
    <col min="10" max="10" width="11.41796875" style="1" bestFit="1" customWidth="1"/>
    <col min="11" max="11" width="9.578125" style="1" bestFit="1" customWidth="1"/>
    <col min="12" max="12" width="34.68359375" style="1" bestFit="1" customWidth="1"/>
    <col min="13" max="13" width="34.578125" style="1" bestFit="1" customWidth="1"/>
    <col min="14" max="14" width="20.41796875" style="1" bestFit="1" customWidth="1"/>
    <col min="15" max="15" width="18.68359375" style="1" bestFit="1" customWidth="1"/>
    <col min="16" max="16" width="27.68359375" style="1" bestFit="1" customWidth="1"/>
    <col min="17" max="17" width="20" style="1" bestFit="1" customWidth="1"/>
    <col min="18" max="18" width="19.68359375" style="1" bestFit="1" customWidth="1"/>
    <col min="19" max="19" width="21.15625" style="1" bestFit="1" customWidth="1"/>
    <col min="20" max="20" width="32.15625" style="1" bestFit="1" customWidth="1"/>
    <col min="21" max="21" width="19" style="1" bestFit="1" customWidth="1"/>
    <col min="22" max="22" width="21.15625" style="1" bestFit="1" customWidth="1"/>
    <col min="23" max="23" width="20.68359375" style="1" bestFit="1" customWidth="1"/>
    <col min="24" max="24" width="24.41796875" style="1" bestFit="1" customWidth="1"/>
    <col min="25" max="25" width="19.15625" style="1" bestFit="1" customWidth="1"/>
    <col min="26" max="26" width="26.15625" style="1" bestFit="1" customWidth="1"/>
    <col min="27" max="27" width="18" style="1" bestFit="1" customWidth="1"/>
    <col min="28" max="28" width="11.83984375" style="1" bestFit="1" customWidth="1"/>
    <col min="29" max="29" width="39.68359375" style="1" bestFit="1" customWidth="1"/>
    <col min="30" max="30" width="37.68359375" style="1" bestFit="1" customWidth="1"/>
    <col min="31" max="31" width="35" style="1" bestFit="1" customWidth="1"/>
    <col min="32" max="32" width="28.578125" style="1" bestFit="1" customWidth="1"/>
    <col min="33" max="33" width="6.578125" style="1" bestFit="1" customWidth="1"/>
    <col min="34" max="34" width="13.68359375" style="1" bestFit="1" customWidth="1"/>
    <col min="35" max="35" width="12.83984375" style="1" bestFit="1" customWidth="1"/>
    <col min="36" max="36" width="59.41796875" style="1" bestFit="1" customWidth="1"/>
    <col min="37" max="37" width="54.15625" style="1" bestFit="1" customWidth="1"/>
    <col min="38" max="38" width="48.15625" style="1" bestFit="1" customWidth="1"/>
    <col min="39" max="39" width="49.578125" style="1" bestFit="1" customWidth="1"/>
    <col min="40" max="40" width="54.15625" style="1" bestFit="1" customWidth="1"/>
    <col min="41" max="41" width="33.578125" style="1" bestFit="1" customWidth="1"/>
    <col min="42" max="42" width="25.15625" style="1" bestFit="1" customWidth="1"/>
    <col min="43" max="43" width="25.15625" style="1" customWidth="1"/>
    <col min="44" max="44" width="10.41796875" style="1" bestFit="1" customWidth="1"/>
    <col min="45" max="45" width="31" style="1" bestFit="1" customWidth="1"/>
    <col min="46" max="46" width="8.68359375" style="1" bestFit="1" customWidth="1"/>
    <col min="47" max="47" width="23" style="1" bestFit="1" customWidth="1"/>
    <col min="48" max="48" width="24.68359375" style="1" bestFit="1" customWidth="1"/>
    <col min="49" max="49" width="52.15625" style="1" bestFit="1" customWidth="1"/>
    <col min="50" max="50" width="25" style="1" bestFit="1" customWidth="1"/>
    <col min="51" max="51" width="28" style="1" bestFit="1" customWidth="1"/>
    <col min="52" max="52" width="27.83984375" style="1" bestFit="1" customWidth="1"/>
    <col min="53" max="53" width="24.578125" style="1" bestFit="1" customWidth="1"/>
    <col min="54" max="54" width="24.41796875" style="1" bestFit="1" customWidth="1"/>
    <col min="55" max="55" width="37" style="1" bestFit="1" customWidth="1"/>
    <col min="56" max="56" width="13.83984375" style="1" bestFit="1" customWidth="1"/>
    <col min="57" max="57" width="10.578125" style="1" bestFit="1" customWidth="1"/>
    <col min="58" max="58" width="4.68359375" style="1" bestFit="1" customWidth="1"/>
    <col min="59" max="59" width="22.68359375" style="1" bestFit="1" customWidth="1"/>
    <col min="60" max="60" width="14.15625" style="1" bestFit="1" customWidth="1"/>
    <col min="61" max="61" width="16.68359375" style="1" bestFit="1" customWidth="1"/>
    <col min="62" max="62" width="5.83984375" style="1" bestFit="1" customWidth="1"/>
    <col min="63" max="63" width="24.68359375" style="1" bestFit="1" customWidth="1"/>
    <col min="64" max="64" width="28.41796875" style="1" bestFit="1" customWidth="1"/>
    <col min="65" max="65" width="32.68359375" style="1" bestFit="1" customWidth="1"/>
    <col min="66" max="66" width="22.41796875" style="1" bestFit="1" customWidth="1"/>
    <col min="67" max="67" width="27.578125" style="1" bestFit="1" customWidth="1"/>
    <col min="68" max="68" width="10.68359375" style="1" bestFit="1" customWidth="1"/>
    <col min="69" max="69" width="45.68359375" style="1" bestFit="1" customWidth="1"/>
    <col min="70" max="70" width="20" style="1" bestFit="1" customWidth="1"/>
    <col min="71" max="71" width="3.83984375" style="1" bestFit="1" customWidth="1"/>
    <col min="72" max="72" width="51.15625" style="1" bestFit="1" customWidth="1"/>
    <col min="73" max="73" width="18.83984375" style="1" bestFit="1" customWidth="1"/>
    <col min="74" max="74" width="22.578125" style="1" bestFit="1" customWidth="1"/>
    <col min="75" max="75" width="22.68359375" style="1" bestFit="1" customWidth="1"/>
    <col min="76" max="76" width="46" style="1" bestFit="1" customWidth="1"/>
    <col min="77" max="77" width="32.68359375" style="1" bestFit="1" customWidth="1"/>
    <col min="78" max="78" width="30.83984375" style="1" bestFit="1" customWidth="1"/>
    <col min="79" max="79" width="19.83984375" style="1" bestFit="1" customWidth="1"/>
    <col min="80" max="80" width="22.15625" style="1" bestFit="1" customWidth="1"/>
    <col min="81" max="81" width="26.83984375" style="1" bestFit="1" customWidth="1"/>
    <col min="82" max="82" width="33.41796875" style="1" bestFit="1" customWidth="1"/>
    <col min="83" max="83" width="19.41796875" style="1" bestFit="1" customWidth="1"/>
    <col min="84" max="84" width="38.68359375" style="1" bestFit="1" customWidth="1"/>
    <col min="85" max="85" width="27.41796875" style="1" bestFit="1" customWidth="1"/>
    <col min="86" max="86" width="15.83984375" style="1" bestFit="1" customWidth="1"/>
    <col min="87" max="87" width="21" style="1" bestFit="1" customWidth="1"/>
    <col min="88" max="88" width="9.578125" style="1" bestFit="1" customWidth="1"/>
    <col min="89" max="89" width="12.41796875" style="1" bestFit="1" customWidth="1"/>
    <col min="90" max="90" width="33.15625" style="1" bestFit="1" customWidth="1"/>
    <col min="91" max="91" width="15.578125" style="1" bestFit="1" customWidth="1"/>
    <col min="92" max="92" width="50.68359375" style="1" bestFit="1" customWidth="1"/>
    <col min="93" max="93" width="41.15625" style="1" bestFit="1" customWidth="1"/>
    <col min="94" max="94" width="62.578125" style="1" bestFit="1" customWidth="1"/>
    <col min="95" max="95" width="32.68359375" style="1" bestFit="1" customWidth="1"/>
    <col min="96" max="16384" width="9.15625" style="1"/>
  </cols>
  <sheetData>
    <row r="1" spans="1:96" ht="18.75" customHeight="1" x14ac:dyDescent="0.7">
      <c r="A1" s="26" t="s">
        <v>96</v>
      </c>
      <c r="C1" s="8"/>
    </row>
    <row r="2" spans="1:96" s="23" customFormat="1" x14ac:dyDescent="0.55000000000000004">
      <c r="A2" s="19" t="s">
        <v>1</v>
      </c>
      <c r="B2" s="20" t="s">
        <v>2</v>
      </c>
      <c r="C2" s="21" t="s">
        <v>3</v>
      </c>
      <c r="D2" s="19" t="s">
        <v>4</v>
      </c>
      <c r="E2" s="19" t="s">
        <v>5</v>
      </c>
      <c r="F2" s="19" t="s">
        <v>6</v>
      </c>
      <c r="G2" s="27" t="s">
        <v>97</v>
      </c>
      <c r="H2" s="27" t="s">
        <v>98</v>
      </c>
      <c r="I2" s="27" t="s">
        <v>99</v>
      </c>
      <c r="J2" s="27" t="s">
        <v>9</v>
      </c>
      <c r="K2" s="27" t="s">
        <v>100</v>
      </c>
      <c r="L2" s="27" t="s">
        <v>101</v>
      </c>
      <c r="M2" s="27" t="s">
        <v>102</v>
      </c>
      <c r="N2" s="27" t="s">
        <v>103</v>
      </c>
      <c r="O2" s="27" t="s">
        <v>11</v>
      </c>
      <c r="P2" s="27" t="s">
        <v>13</v>
      </c>
      <c r="Q2" s="21" t="s">
        <v>104</v>
      </c>
      <c r="R2" s="21" t="s">
        <v>272</v>
      </c>
      <c r="S2" s="21" t="s">
        <v>105</v>
      </c>
      <c r="T2" s="21" t="s">
        <v>106</v>
      </c>
      <c r="U2" s="21" t="s">
        <v>107</v>
      </c>
      <c r="V2" s="21" t="s">
        <v>108</v>
      </c>
      <c r="W2" s="21" t="s">
        <v>273</v>
      </c>
      <c r="X2" s="21" t="s">
        <v>274</v>
      </c>
      <c r="Y2" s="21" t="s">
        <v>109</v>
      </c>
      <c r="Z2" s="21" t="s">
        <v>267</v>
      </c>
      <c r="AA2" s="21" t="s">
        <v>268</v>
      </c>
      <c r="AB2" s="21" t="s">
        <v>14</v>
      </c>
      <c r="AC2" s="21" t="s">
        <v>110</v>
      </c>
      <c r="AD2" s="21" t="s">
        <v>277</v>
      </c>
      <c r="AE2" s="21" t="s">
        <v>276</v>
      </c>
      <c r="AF2" s="21" t="s">
        <v>275</v>
      </c>
      <c r="AG2" s="21" t="s">
        <v>12</v>
      </c>
      <c r="AH2" s="21" t="s">
        <v>8</v>
      </c>
      <c r="AI2" s="21" t="s">
        <v>271</v>
      </c>
      <c r="AJ2" s="21" t="s">
        <v>279</v>
      </c>
      <c r="AK2" s="21" t="s">
        <v>280</v>
      </c>
      <c r="AL2" s="21" t="s">
        <v>281</v>
      </c>
      <c r="AM2" s="21" t="s">
        <v>283</v>
      </c>
      <c r="AN2" s="21" t="s">
        <v>282</v>
      </c>
      <c r="AO2" s="21" t="s">
        <v>290</v>
      </c>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row>
    <row r="3" spans="1:96" x14ac:dyDescent="0.7">
      <c r="B3" s="1" t="s">
        <v>112</v>
      </c>
      <c r="C3" s="14" t="s">
        <v>113</v>
      </c>
      <c r="D3" s="1" t="s">
        <v>27</v>
      </c>
      <c r="E3" s="18">
        <f t="shared" ref="E3:E13" si="0">COUNTIF(G3:YK3,"Yes")</f>
        <v>8</v>
      </c>
      <c r="F3" s="14">
        <f t="shared" ref="F3:F13" si="1">SUM(E3,COUNTIF(G3:YK3,"Client"))</f>
        <v>15</v>
      </c>
      <c r="G3" s="14" t="s">
        <v>28</v>
      </c>
      <c r="H3" s="14"/>
      <c r="I3" s="14" t="s">
        <v>29</v>
      </c>
      <c r="J3" s="14" t="s">
        <v>29</v>
      </c>
      <c r="K3" s="14"/>
      <c r="L3" s="14" t="s">
        <v>28</v>
      </c>
      <c r="M3" s="14"/>
      <c r="N3" s="14" t="s">
        <v>28</v>
      </c>
      <c r="O3" s="14" t="s">
        <v>29</v>
      </c>
      <c r="P3" s="14"/>
      <c r="Q3" s="14" t="s">
        <v>28</v>
      </c>
      <c r="R3" s="14"/>
      <c r="S3" s="14" t="s">
        <v>28</v>
      </c>
      <c r="T3" s="14"/>
      <c r="U3" s="14" t="s">
        <v>28</v>
      </c>
      <c r="V3" s="14"/>
      <c r="W3" s="14"/>
      <c r="X3" s="14"/>
      <c r="Y3" s="14"/>
      <c r="Z3" s="14"/>
      <c r="AA3" s="14"/>
      <c r="AB3" s="14" t="s">
        <v>28</v>
      </c>
      <c r="AC3" s="14"/>
      <c r="AD3" s="14" t="s">
        <v>29</v>
      </c>
      <c r="AE3" s="14"/>
      <c r="AF3" s="14"/>
      <c r="AG3" s="1" t="s">
        <v>29</v>
      </c>
      <c r="AH3" s="1" t="s">
        <v>29</v>
      </c>
      <c r="AJ3" s="14" t="s">
        <v>28</v>
      </c>
      <c r="AK3" s="31"/>
      <c r="AL3" s="31"/>
      <c r="AM3" s="31"/>
      <c r="AN3" s="31"/>
      <c r="AO3" s="14" t="s">
        <v>29</v>
      </c>
    </row>
    <row r="4" spans="1:96" x14ac:dyDescent="0.7">
      <c r="B4" s="1" t="s">
        <v>114</v>
      </c>
      <c r="C4" s="14" t="s">
        <v>115</v>
      </c>
      <c r="D4" s="1" t="s">
        <v>27</v>
      </c>
      <c r="E4" s="18">
        <f t="shared" si="0"/>
        <v>8</v>
      </c>
      <c r="F4" s="14">
        <f t="shared" si="1"/>
        <v>15</v>
      </c>
      <c r="G4" s="14" t="s">
        <v>28</v>
      </c>
      <c r="H4" s="14"/>
      <c r="I4" s="14" t="s">
        <v>29</v>
      </c>
      <c r="J4" s="14" t="s">
        <v>29</v>
      </c>
      <c r="K4" s="14"/>
      <c r="L4" s="14" t="s">
        <v>28</v>
      </c>
      <c r="M4" s="14"/>
      <c r="N4" s="14" t="s">
        <v>28</v>
      </c>
      <c r="O4" s="14" t="s">
        <v>29</v>
      </c>
      <c r="P4" s="14"/>
      <c r="Q4" s="14" t="s">
        <v>28</v>
      </c>
      <c r="R4" s="14"/>
      <c r="S4" s="14" t="s">
        <v>28</v>
      </c>
      <c r="T4" s="14"/>
      <c r="U4" s="14" t="s">
        <v>28</v>
      </c>
      <c r="V4" s="14"/>
      <c r="W4" s="14"/>
      <c r="X4" s="14"/>
      <c r="Y4" s="14"/>
      <c r="Z4" s="14"/>
      <c r="AA4" s="14"/>
      <c r="AB4" s="14" t="s">
        <v>28</v>
      </c>
      <c r="AC4" s="14"/>
      <c r="AD4" s="14" t="s">
        <v>29</v>
      </c>
      <c r="AE4" s="14"/>
      <c r="AF4" s="14"/>
      <c r="AG4" s="1" t="s">
        <v>29</v>
      </c>
      <c r="AH4" s="1" t="s">
        <v>29</v>
      </c>
      <c r="AJ4" s="14" t="s">
        <v>28</v>
      </c>
      <c r="AK4" s="31"/>
      <c r="AL4" s="31"/>
      <c r="AM4" s="31"/>
      <c r="AN4" s="31"/>
      <c r="AO4" s="14" t="s">
        <v>29</v>
      </c>
    </row>
    <row r="5" spans="1:96" x14ac:dyDescent="0.7">
      <c r="B5" s="1" t="s">
        <v>116</v>
      </c>
      <c r="C5" s="14" t="s">
        <v>117</v>
      </c>
      <c r="D5" s="1" t="s">
        <v>27</v>
      </c>
      <c r="E5" s="18">
        <f t="shared" si="0"/>
        <v>6</v>
      </c>
      <c r="F5" s="14">
        <f t="shared" si="1"/>
        <v>12</v>
      </c>
      <c r="G5" s="14" t="s">
        <v>28</v>
      </c>
      <c r="H5" s="14"/>
      <c r="I5" s="14" t="s">
        <v>29</v>
      </c>
      <c r="J5" s="14" t="s">
        <v>29</v>
      </c>
      <c r="K5" s="14"/>
      <c r="L5" s="14" t="s">
        <v>28</v>
      </c>
      <c r="M5" s="14"/>
      <c r="N5" s="14" t="s">
        <v>28</v>
      </c>
      <c r="O5" s="14" t="s">
        <v>29</v>
      </c>
      <c r="P5" s="14"/>
      <c r="Q5" s="14" t="s">
        <v>28</v>
      </c>
      <c r="R5" s="14"/>
      <c r="S5" s="14"/>
      <c r="T5" s="14"/>
      <c r="U5" s="14"/>
      <c r="V5" s="14"/>
      <c r="W5" s="14"/>
      <c r="X5" s="14"/>
      <c r="Y5" s="14"/>
      <c r="Z5" s="14"/>
      <c r="AA5" s="14"/>
      <c r="AB5" s="14" t="s">
        <v>28</v>
      </c>
      <c r="AC5" s="14"/>
      <c r="AD5" s="14"/>
      <c r="AE5" s="14"/>
      <c r="AF5" s="14"/>
      <c r="AG5" s="1" t="s">
        <v>29</v>
      </c>
      <c r="AH5" s="1" t="s">
        <v>29</v>
      </c>
      <c r="AJ5" s="31"/>
      <c r="AK5" s="14" t="s">
        <v>28</v>
      </c>
      <c r="AL5" s="31"/>
      <c r="AM5" s="31"/>
      <c r="AN5" s="31"/>
      <c r="AO5" s="14" t="s">
        <v>29</v>
      </c>
    </row>
    <row r="6" spans="1:96" x14ac:dyDescent="0.7">
      <c r="B6" s="1" t="s">
        <v>118</v>
      </c>
      <c r="C6" s="14" t="s">
        <v>119</v>
      </c>
      <c r="D6" s="1" t="s">
        <v>27</v>
      </c>
      <c r="E6" s="18">
        <f t="shared" si="0"/>
        <v>6</v>
      </c>
      <c r="F6" s="14">
        <f t="shared" si="1"/>
        <v>12</v>
      </c>
      <c r="G6" s="14" t="s">
        <v>28</v>
      </c>
      <c r="H6" s="14"/>
      <c r="I6" s="14" t="s">
        <v>29</v>
      </c>
      <c r="J6" s="14" t="s">
        <v>29</v>
      </c>
      <c r="K6" s="14"/>
      <c r="L6" s="14" t="s">
        <v>28</v>
      </c>
      <c r="M6" s="14"/>
      <c r="N6" s="14" t="s">
        <v>28</v>
      </c>
      <c r="O6" s="14" t="s">
        <v>29</v>
      </c>
      <c r="P6" s="14"/>
      <c r="Q6" s="14" t="s">
        <v>28</v>
      </c>
      <c r="R6" s="14"/>
      <c r="S6" s="14"/>
      <c r="T6" s="14"/>
      <c r="U6" s="14"/>
      <c r="V6" s="14"/>
      <c r="W6" s="14"/>
      <c r="X6" s="14"/>
      <c r="Y6" s="14"/>
      <c r="Z6" s="14"/>
      <c r="AA6" s="14"/>
      <c r="AB6" s="14" t="s">
        <v>28</v>
      </c>
      <c r="AC6" s="14"/>
      <c r="AD6" s="14"/>
      <c r="AE6" s="14"/>
      <c r="AF6" s="14"/>
      <c r="AG6" s="1" t="s">
        <v>29</v>
      </c>
      <c r="AH6" s="1" t="s">
        <v>29</v>
      </c>
      <c r="AJ6" s="31"/>
      <c r="AK6" s="31"/>
      <c r="AL6" s="14" t="s">
        <v>28</v>
      </c>
      <c r="AM6" s="31"/>
      <c r="AN6" s="31"/>
      <c r="AO6" s="14" t="s">
        <v>29</v>
      </c>
    </row>
    <row r="7" spans="1:96" x14ac:dyDescent="0.7">
      <c r="B7" s="1" t="s">
        <v>120</v>
      </c>
      <c r="C7" s="14" t="s">
        <v>121</v>
      </c>
      <c r="D7" s="1" t="s">
        <v>27</v>
      </c>
      <c r="E7" s="18">
        <f t="shared" si="0"/>
        <v>6</v>
      </c>
      <c r="F7" s="14">
        <f t="shared" si="1"/>
        <v>12</v>
      </c>
      <c r="G7" s="14" t="s">
        <v>28</v>
      </c>
      <c r="H7" s="14"/>
      <c r="I7" s="14" t="s">
        <v>29</v>
      </c>
      <c r="J7" s="14" t="s">
        <v>29</v>
      </c>
      <c r="K7" s="14"/>
      <c r="L7" s="14" t="s">
        <v>28</v>
      </c>
      <c r="M7" s="14"/>
      <c r="N7" s="14" t="s">
        <v>28</v>
      </c>
      <c r="O7" s="14" t="s">
        <v>29</v>
      </c>
      <c r="P7" s="14"/>
      <c r="Q7" s="14" t="s">
        <v>28</v>
      </c>
      <c r="R7" s="14"/>
      <c r="S7" s="14"/>
      <c r="T7" s="14"/>
      <c r="U7" s="14"/>
      <c r="V7" s="14"/>
      <c r="W7" s="14"/>
      <c r="X7" s="14"/>
      <c r="Y7" s="14"/>
      <c r="Z7" s="14"/>
      <c r="AA7" s="14"/>
      <c r="AB7" s="14" t="s">
        <v>28</v>
      </c>
      <c r="AC7" s="14"/>
      <c r="AD7" s="14"/>
      <c r="AE7" s="14"/>
      <c r="AF7" s="14"/>
      <c r="AG7" s="1" t="s">
        <v>29</v>
      </c>
      <c r="AH7" s="1" t="s">
        <v>29</v>
      </c>
      <c r="AJ7" s="31"/>
      <c r="AK7" s="31"/>
      <c r="AL7" s="31"/>
      <c r="AM7" s="14" t="s">
        <v>28</v>
      </c>
      <c r="AN7" s="31"/>
      <c r="AO7" s="14" t="s">
        <v>29</v>
      </c>
    </row>
    <row r="8" spans="1:96" x14ac:dyDescent="0.7">
      <c r="B8" s="1" t="s">
        <v>122</v>
      </c>
      <c r="C8" s="14" t="s">
        <v>123</v>
      </c>
      <c r="D8" s="1" t="s">
        <v>33</v>
      </c>
      <c r="E8" s="18">
        <f t="shared" si="0"/>
        <v>6</v>
      </c>
      <c r="F8" s="14">
        <f t="shared" si="1"/>
        <v>12</v>
      </c>
      <c r="G8" s="14" t="s">
        <v>28</v>
      </c>
      <c r="H8" s="14"/>
      <c r="I8" s="14" t="s">
        <v>29</v>
      </c>
      <c r="J8" s="14" t="s">
        <v>29</v>
      </c>
      <c r="K8" s="14"/>
      <c r="L8" s="14" t="s">
        <v>28</v>
      </c>
      <c r="M8" s="14"/>
      <c r="N8" s="14" t="s">
        <v>28</v>
      </c>
      <c r="O8" s="14" t="s">
        <v>29</v>
      </c>
      <c r="P8" s="14"/>
      <c r="Q8" s="14" t="s">
        <v>28</v>
      </c>
      <c r="R8" s="14"/>
      <c r="S8" s="14"/>
      <c r="T8" s="14"/>
      <c r="U8" s="14"/>
      <c r="V8" s="14"/>
      <c r="W8" s="14"/>
      <c r="X8" s="14"/>
      <c r="Y8" s="14"/>
      <c r="Z8" s="14"/>
      <c r="AA8" s="14"/>
      <c r="AB8" s="14" t="s">
        <v>28</v>
      </c>
      <c r="AC8" s="14"/>
      <c r="AD8" s="14"/>
      <c r="AE8" s="14"/>
      <c r="AF8" s="14"/>
      <c r="AG8" s="1" t="s">
        <v>29</v>
      </c>
      <c r="AH8" s="1" t="s">
        <v>29</v>
      </c>
      <c r="AJ8" s="31"/>
      <c r="AK8" s="31"/>
      <c r="AL8" s="31"/>
      <c r="AM8" s="31"/>
      <c r="AN8" s="14" t="s">
        <v>28</v>
      </c>
      <c r="AO8" s="14" t="s">
        <v>29</v>
      </c>
    </row>
    <row r="9" spans="1:96" x14ac:dyDescent="0.7">
      <c r="B9" s="1" t="s">
        <v>124</v>
      </c>
      <c r="C9" s="14" t="s">
        <v>125</v>
      </c>
      <c r="D9" s="1" t="s">
        <v>33</v>
      </c>
      <c r="E9" s="18">
        <f t="shared" si="0"/>
        <v>10</v>
      </c>
      <c r="F9" s="14">
        <f t="shared" si="1"/>
        <v>18</v>
      </c>
      <c r="G9" s="14"/>
      <c r="H9" s="14" t="s">
        <v>28</v>
      </c>
      <c r="I9" s="14" t="s">
        <v>29</v>
      </c>
      <c r="J9" s="14" t="s">
        <v>29</v>
      </c>
      <c r="K9" s="14"/>
      <c r="L9" s="14"/>
      <c r="M9" s="14" t="s">
        <v>28</v>
      </c>
      <c r="N9" s="14" t="s">
        <v>28</v>
      </c>
      <c r="O9" s="14" t="s">
        <v>29</v>
      </c>
      <c r="P9" s="14"/>
      <c r="Q9" s="14" t="s">
        <v>28</v>
      </c>
      <c r="R9" s="14"/>
      <c r="S9" s="14" t="s">
        <v>28</v>
      </c>
      <c r="T9" s="14" t="s">
        <v>28</v>
      </c>
      <c r="U9" s="14" t="s">
        <v>28</v>
      </c>
      <c r="V9" s="14" t="s">
        <v>28</v>
      </c>
      <c r="W9" s="14"/>
      <c r="X9" s="14"/>
      <c r="Y9" s="14"/>
      <c r="Z9" s="14"/>
      <c r="AA9" s="14"/>
      <c r="AB9" s="14" t="s">
        <v>28</v>
      </c>
      <c r="AC9" s="14" t="s">
        <v>28</v>
      </c>
      <c r="AD9" s="14"/>
      <c r="AE9" s="14" t="s">
        <v>29</v>
      </c>
      <c r="AF9" s="14" t="s">
        <v>29</v>
      </c>
      <c r="AG9" s="1" t="s">
        <v>29</v>
      </c>
      <c r="AH9" s="1" t="s">
        <v>29</v>
      </c>
      <c r="AO9" s="14" t="s">
        <v>29</v>
      </c>
    </row>
    <row r="10" spans="1:96" x14ac:dyDescent="0.7">
      <c r="B10" s="1" t="s">
        <v>126</v>
      </c>
      <c r="C10" s="14" t="s">
        <v>127</v>
      </c>
      <c r="D10" s="1" t="s">
        <v>33</v>
      </c>
      <c r="E10" s="18">
        <f t="shared" si="0"/>
        <v>13</v>
      </c>
      <c r="F10" s="14">
        <f t="shared" si="1"/>
        <v>23</v>
      </c>
      <c r="G10" s="14"/>
      <c r="H10" s="14" t="s">
        <v>28</v>
      </c>
      <c r="I10" s="14" t="s">
        <v>29</v>
      </c>
      <c r="J10" s="14" t="s">
        <v>29</v>
      </c>
      <c r="K10" s="14" t="s">
        <v>29</v>
      </c>
      <c r="L10" s="14"/>
      <c r="M10" s="14" t="s">
        <v>28</v>
      </c>
      <c r="N10" s="14" t="s">
        <v>28</v>
      </c>
      <c r="O10" s="14" t="s">
        <v>29</v>
      </c>
      <c r="P10" s="14"/>
      <c r="Q10" s="14" t="s">
        <v>28</v>
      </c>
      <c r="R10" s="14"/>
      <c r="S10" s="14" t="s">
        <v>28</v>
      </c>
      <c r="T10" s="14" t="s">
        <v>28</v>
      </c>
      <c r="U10" s="14" t="s">
        <v>28</v>
      </c>
      <c r="V10" s="14" t="s">
        <v>28</v>
      </c>
      <c r="W10" s="14"/>
      <c r="X10" s="14"/>
      <c r="Y10" s="14" t="s">
        <v>28</v>
      </c>
      <c r="Z10" s="14" t="s">
        <v>28</v>
      </c>
      <c r="AA10" s="14" t="s">
        <v>28</v>
      </c>
      <c r="AB10" s="14" t="s">
        <v>28</v>
      </c>
      <c r="AC10" s="14" t="s">
        <v>28</v>
      </c>
      <c r="AD10" s="14" t="s">
        <v>29</v>
      </c>
      <c r="AE10" s="14" t="s">
        <v>29</v>
      </c>
      <c r="AF10" s="14" t="s">
        <v>29</v>
      </c>
      <c r="AG10" s="1" t="s">
        <v>29</v>
      </c>
      <c r="AH10" s="1" t="s">
        <v>29</v>
      </c>
      <c r="AO10" s="14" t="s">
        <v>29</v>
      </c>
    </row>
    <row r="11" spans="1:96" x14ac:dyDescent="0.7">
      <c r="B11" s="1" t="s">
        <v>128</v>
      </c>
      <c r="C11" s="14" t="s">
        <v>129</v>
      </c>
      <c r="D11" s="1" t="s">
        <v>130</v>
      </c>
      <c r="E11" s="18">
        <f t="shared" si="0"/>
        <v>13</v>
      </c>
      <c r="F11" s="14">
        <f t="shared" si="1"/>
        <v>22</v>
      </c>
      <c r="G11" s="14"/>
      <c r="H11" s="14" t="s">
        <v>28</v>
      </c>
      <c r="I11" s="14" t="s">
        <v>29</v>
      </c>
      <c r="J11" s="14" t="s">
        <v>29</v>
      </c>
      <c r="K11" s="14"/>
      <c r="L11" s="14"/>
      <c r="M11" s="14" t="s">
        <v>28</v>
      </c>
      <c r="N11" s="14" t="s">
        <v>28</v>
      </c>
      <c r="O11" s="14" t="s">
        <v>29</v>
      </c>
      <c r="P11" s="14"/>
      <c r="Q11" s="14" t="s">
        <v>28</v>
      </c>
      <c r="R11" s="14" t="s">
        <v>28</v>
      </c>
      <c r="S11" s="14" t="s">
        <v>28</v>
      </c>
      <c r="T11" s="14" t="s">
        <v>28</v>
      </c>
      <c r="U11" s="14" t="s">
        <v>28</v>
      </c>
      <c r="V11" s="14" t="s">
        <v>28</v>
      </c>
      <c r="W11" s="14" t="s">
        <v>28</v>
      </c>
      <c r="X11" s="14" t="s">
        <v>28</v>
      </c>
      <c r="Y11" s="14"/>
      <c r="Z11" s="14"/>
      <c r="AA11" s="14"/>
      <c r="AB11" s="14" t="s">
        <v>28</v>
      </c>
      <c r="AC11" s="14" t="s">
        <v>28</v>
      </c>
      <c r="AD11" s="14"/>
      <c r="AE11" s="14" t="s">
        <v>29</v>
      </c>
      <c r="AF11" s="14" t="s">
        <v>29</v>
      </c>
      <c r="AG11" s="1" t="s">
        <v>29</v>
      </c>
      <c r="AH11" s="1" t="s">
        <v>29</v>
      </c>
      <c r="AI11" s="1" t="s">
        <v>29</v>
      </c>
      <c r="AO11" s="14" t="s">
        <v>29</v>
      </c>
    </row>
    <row r="12" spans="1:96" x14ac:dyDescent="0.7">
      <c r="B12" s="1" t="s">
        <v>131</v>
      </c>
      <c r="C12" s="14" t="s">
        <v>132</v>
      </c>
      <c r="D12" s="1" t="s">
        <v>130</v>
      </c>
      <c r="E12" s="18">
        <f t="shared" si="0"/>
        <v>13</v>
      </c>
      <c r="F12" s="14">
        <f t="shared" si="1"/>
        <v>22</v>
      </c>
      <c r="G12" s="14"/>
      <c r="H12" s="14" t="s">
        <v>28</v>
      </c>
      <c r="I12" s="14" t="s">
        <v>29</v>
      </c>
      <c r="J12" s="14" t="s">
        <v>29</v>
      </c>
      <c r="K12" s="14"/>
      <c r="L12" s="14"/>
      <c r="M12" s="14" t="s">
        <v>28</v>
      </c>
      <c r="N12" s="14" t="s">
        <v>28</v>
      </c>
      <c r="O12" s="14" t="s">
        <v>29</v>
      </c>
      <c r="P12" s="14"/>
      <c r="Q12" s="14" t="s">
        <v>28</v>
      </c>
      <c r="R12" s="14" t="s">
        <v>28</v>
      </c>
      <c r="S12" s="14" t="s">
        <v>28</v>
      </c>
      <c r="T12" s="14" t="s">
        <v>28</v>
      </c>
      <c r="U12" s="14" t="s">
        <v>28</v>
      </c>
      <c r="V12" s="14" t="s">
        <v>28</v>
      </c>
      <c r="W12" s="14" t="s">
        <v>28</v>
      </c>
      <c r="X12" s="14" t="s">
        <v>28</v>
      </c>
      <c r="Y12" s="14"/>
      <c r="Z12" s="14"/>
      <c r="AA12" s="14"/>
      <c r="AB12" s="14" t="s">
        <v>28</v>
      </c>
      <c r="AC12" s="14" t="s">
        <v>28</v>
      </c>
      <c r="AD12" s="14"/>
      <c r="AE12" s="14" t="s">
        <v>29</v>
      </c>
      <c r="AF12" s="14" t="s">
        <v>29</v>
      </c>
      <c r="AG12" s="1" t="s">
        <v>29</v>
      </c>
      <c r="AH12" s="1" t="s">
        <v>29</v>
      </c>
      <c r="AI12" s="1" t="s">
        <v>29</v>
      </c>
      <c r="AO12" s="14" t="s">
        <v>29</v>
      </c>
    </row>
    <row r="13" spans="1:96" x14ac:dyDescent="0.7">
      <c r="B13" s="1" t="s">
        <v>133</v>
      </c>
      <c r="C13" s="14" t="s">
        <v>134</v>
      </c>
      <c r="D13" s="1" t="s">
        <v>130</v>
      </c>
      <c r="E13" s="18">
        <f t="shared" si="0"/>
        <v>13</v>
      </c>
      <c r="F13" s="14">
        <f t="shared" si="1"/>
        <v>22</v>
      </c>
      <c r="G13" s="14"/>
      <c r="H13" s="14" t="s">
        <v>28</v>
      </c>
      <c r="I13" s="14" t="s">
        <v>29</v>
      </c>
      <c r="J13" s="14" t="s">
        <v>29</v>
      </c>
      <c r="K13" s="14"/>
      <c r="L13" s="14"/>
      <c r="M13" s="14" t="s">
        <v>28</v>
      </c>
      <c r="N13" s="14" t="s">
        <v>28</v>
      </c>
      <c r="O13" s="14" t="s">
        <v>29</v>
      </c>
      <c r="P13" s="14"/>
      <c r="Q13" s="14" t="s">
        <v>28</v>
      </c>
      <c r="R13" s="14" t="s">
        <v>28</v>
      </c>
      <c r="S13" s="14" t="s">
        <v>28</v>
      </c>
      <c r="T13" s="14" t="s">
        <v>28</v>
      </c>
      <c r="U13" s="14" t="s">
        <v>28</v>
      </c>
      <c r="V13" s="14" t="s">
        <v>28</v>
      </c>
      <c r="W13" s="14" t="s">
        <v>28</v>
      </c>
      <c r="X13" s="14" t="s">
        <v>28</v>
      </c>
      <c r="Y13" s="14"/>
      <c r="Z13" s="14"/>
      <c r="AA13" s="14"/>
      <c r="AB13" s="14" t="s">
        <v>28</v>
      </c>
      <c r="AC13" s="14" t="s">
        <v>28</v>
      </c>
      <c r="AD13" s="14"/>
      <c r="AE13" s="14" t="s">
        <v>29</v>
      </c>
      <c r="AF13" s="14" t="s">
        <v>29</v>
      </c>
      <c r="AG13" s="1" t="s">
        <v>29</v>
      </c>
      <c r="AH13" s="1" t="s">
        <v>29</v>
      </c>
      <c r="AI13" s="1" t="s">
        <v>29</v>
      </c>
      <c r="AO13" s="14"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87418-6A91-483D-B327-D69CA286E361}">
  <dimension ref="A1:BC26"/>
  <sheetViews>
    <sheetView topLeftCell="C1" workbookViewId="0">
      <selection activeCell="K7" sqref="K7"/>
    </sheetView>
  </sheetViews>
  <sheetFormatPr defaultColWidth="9.15625" defaultRowHeight="18.3" x14ac:dyDescent="0.7"/>
  <cols>
    <col min="1" max="1" width="7.68359375" style="1" bestFit="1" customWidth="1"/>
    <col min="2" max="2" width="78.15625" style="1" bestFit="1" customWidth="1"/>
    <col min="3" max="3" width="17.41796875" style="1" bestFit="1" customWidth="1"/>
    <col min="4" max="4" width="18" style="1" bestFit="1" customWidth="1"/>
    <col min="5" max="5" width="16.578125" style="1" bestFit="1" customWidth="1"/>
    <col min="6" max="6" width="16" style="1" bestFit="1" customWidth="1"/>
    <col min="7" max="7" width="40.578125" style="1" bestFit="1" customWidth="1"/>
    <col min="8" max="8" width="26.41796875" style="1" bestFit="1" customWidth="1"/>
    <col min="9" max="9" width="13.68359375" style="1" bestFit="1" customWidth="1"/>
    <col min="10" max="10" width="11.41796875" style="1" bestFit="1" customWidth="1"/>
    <col min="11" max="11" width="9.578125" style="1" bestFit="1" customWidth="1"/>
    <col min="12" max="12" width="34.578125" style="1" bestFit="1" customWidth="1"/>
    <col min="13" max="13" width="20.41796875" style="1" bestFit="1" customWidth="1"/>
    <col min="14" max="14" width="20" style="1" bestFit="1" customWidth="1"/>
    <col min="15" max="15" width="19.68359375" style="1" bestFit="1" customWidth="1"/>
    <col min="16" max="16" width="21.15625" style="1" bestFit="1" customWidth="1"/>
    <col min="17" max="17" width="32.15625" style="1" bestFit="1" customWidth="1"/>
    <col min="18" max="18" width="19" style="1" bestFit="1" customWidth="1"/>
    <col min="19" max="19" width="21.15625" style="1" bestFit="1" customWidth="1"/>
    <col min="20" max="20" width="20.68359375" style="1" bestFit="1" customWidth="1"/>
    <col min="21" max="21" width="24.41796875" style="1" bestFit="1" customWidth="1"/>
    <col min="22" max="22" width="19.15625" style="1" bestFit="1" customWidth="1"/>
    <col min="23" max="23" width="26.15625" style="1" bestFit="1" customWidth="1"/>
    <col min="24" max="24" width="18" style="1" bestFit="1" customWidth="1"/>
    <col min="25" max="25" width="18.68359375" style="1" bestFit="1" customWidth="1"/>
    <col min="26" max="26" width="6.578125" style="1" bestFit="1" customWidth="1"/>
    <col min="27" max="27" width="11.83984375" style="1" bestFit="1" customWidth="1"/>
    <col min="28" max="28" width="39.68359375" style="1" bestFit="1" customWidth="1"/>
    <col min="29" max="29" width="30.15625" style="1" bestFit="1" customWidth="1"/>
    <col min="30" max="30" width="45.68359375" style="1" bestFit="1" customWidth="1"/>
    <col min="31" max="31" width="22" style="1" bestFit="1" customWidth="1"/>
    <col min="32" max="32" width="32.89453125" style="1" bestFit="1" customWidth="1"/>
    <col min="33" max="33" width="28.578125" style="1" bestFit="1" customWidth="1"/>
    <col min="34" max="34" width="37.68359375" style="1" bestFit="1" customWidth="1"/>
    <col min="35" max="35" width="35" style="1" bestFit="1" customWidth="1"/>
    <col min="36" max="36" width="33.578125" style="1" bestFit="1" customWidth="1"/>
    <col min="37" max="37" width="31.578125" style="1" customWidth="1"/>
    <col min="38" max="38" width="35.15625" style="1" customWidth="1"/>
    <col min="39" max="39" width="35" style="1" customWidth="1"/>
    <col min="40" max="40" width="31" style="1" customWidth="1"/>
    <col min="41" max="41" width="30.83984375" style="1" bestFit="1" customWidth="1"/>
    <col min="42" max="42" width="46.578125" style="1" customWidth="1"/>
    <col min="43" max="43" width="17.15625" style="1" customWidth="1"/>
    <col min="44" max="44" width="15.83984375" style="1" bestFit="1" customWidth="1"/>
    <col min="45" max="45" width="17" style="1" bestFit="1" customWidth="1"/>
    <col min="46" max="46" width="20.15625" style="1" bestFit="1" customWidth="1"/>
    <col min="47" max="47" width="14.68359375" style="1" bestFit="1" customWidth="1"/>
    <col min="48" max="48" width="17.15625" style="1" bestFit="1" customWidth="1"/>
    <col min="49" max="49" width="18.15625" style="1" customWidth="1"/>
    <col min="50" max="50" width="28.578125" style="1" bestFit="1" customWidth="1"/>
    <col min="51" max="51" width="17.83984375" style="1" customWidth="1"/>
    <col min="52" max="52" width="21.15625" style="1" bestFit="1" customWidth="1"/>
    <col min="53" max="53" width="7.15625" style="1" bestFit="1" customWidth="1"/>
    <col min="54" max="54" width="31.15625" style="1" customWidth="1"/>
    <col min="55" max="55" width="35.578125" style="1" customWidth="1"/>
    <col min="56" max="56" width="41.15625" style="1" customWidth="1"/>
    <col min="57" max="57" width="28.15625" style="1" customWidth="1"/>
    <col min="58" max="58" width="34.68359375" style="1" customWidth="1"/>
    <col min="59" max="59" width="13.578125" style="1" bestFit="1" customWidth="1"/>
    <col min="60" max="60" width="57.41796875" style="1" bestFit="1" customWidth="1"/>
    <col min="61" max="61" width="25.15625" style="1" customWidth="1"/>
    <col min="62" max="62" width="5" style="1" customWidth="1"/>
    <col min="63" max="63" width="64.15625" style="1" customWidth="1"/>
    <col min="64" max="64" width="23.68359375" style="1" customWidth="1"/>
    <col min="65" max="65" width="28.15625" style="1" customWidth="1"/>
    <col min="66" max="66" width="28.578125" style="1" customWidth="1"/>
    <col min="67" max="67" width="57.68359375" style="1" customWidth="1"/>
    <col min="68" max="68" width="41.15625" style="1" customWidth="1"/>
    <col min="69" max="69" width="38.68359375" style="1" customWidth="1"/>
    <col min="70" max="70" width="25" style="1" customWidth="1"/>
    <col min="71" max="71" width="28" style="1" customWidth="1"/>
    <col min="72" max="72" width="33.68359375" style="1" bestFit="1" customWidth="1"/>
    <col min="73" max="73" width="42.15625" style="1" customWidth="1"/>
    <col min="74" max="74" width="24.578125" style="1" bestFit="1" customWidth="1"/>
    <col min="75" max="75" width="48.578125" style="1" customWidth="1"/>
    <col min="76" max="76" width="34.41796875" style="1" customWidth="1"/>
    <col min="77" max="77" width="20" style="1" customWidth="1"/>
    <col min="78" max="78" width="26.41796875" style="1" customWidth="1"/>
    <col min="79" max="79" width="12.15625" style="1" customWidth="1"/>
    <col min="80" max="80" width="15.68359375" style="1" customWidth="1"/>
    <col min="81" max="81" width="41.83984375" style="1" bestFit="1" customWidth="1"/>
    <col min="82" max="82" width="19.68359375" style="1" customWidth="1"/>
    <col min="83" max="83" width="63.578125" style="1" customWidth="1"/>
    <col min="84" max="84" width="51.578125" style="1" customWidth="1"/>
    <col min="85" max="85" width="78.578125" style="1" customWidth="1"/>
    <col min="86" max="86" width="41.15625" style="1" customWidth="1"/>
    <col min="87" max="16384" width="9.15625" style="1"/>
  </cols>
  <sheetData>
    <row r="1" spans="1:55" x14ac:dyDescent="0.7">
      <c r="A1" s="12" t="s">
        <v>135</v>
      </c>
      <c r="AZ1" s="13"/>
      <c r="BA1" s="13"/>
    </row>
    <row r="2" spans="1:55" s="23" customFormat="1" x14ac:dyDescent="0.55000000000000004">
      <c r="A2" s="19" t="s">
        <v>1</v>
      </c>
      <c r="B2" s="20" t="s">
        <v>2</v>
      </c>
      <c r="C2" s="21" t="s">
        <v>3</v>
      </c>
      <c r="D2" s="20" t="s">
        <v>4</v>
      </c>
      <c r="E2" s="19" t="s">
        <v>5</v>
      </c>
      <c r="F2" s="19" t="s">
        <v>6</v>
      </c>
      <c r="G2" s="21" t="s">
        <v>98</v>
      </c>
      <c r="H2" s="21" t="s">
        <v>99</v>
      </c>
      <c r="I2" s="21" t="s">
        <v>8</v>
      </c>
      <c r="J2" s="21" t="s">
        <v>9</v>
      </c>
      <c r="K2" s="21" t="s">
        <v>100</v>
      </c>
      <c r="L2" s="21" t="s">
        <v>102</v>
      </c>
      <c r="M2" s="21" t="s">
        <v>103</v>
      </c>
      <c r="N2" s="21" t="s">
        <v>104</v>
      </c>
      <c r="O2" s="21" t="s">
        <v>272</v>
      </c>
      <c r="P2" s="21" t="s">
        <v>105</v>
      </c>
      <c r="Q2" s="21" t="s">
        <v>106</v>
      </c>
      <c r="R2" s="21" t="s">
        <v>107</v>
      </c>
      <c r="S2" s="21" t="s">
        <v>108</v>
      </c>
      <c r="T2" s="21" t="s">
        <v>273</v>
      </c>
      <c r="U2" s="21" t="s">
        <v>274</v>
      </c>
      <c r="V2" s="21" t="s">
        <v>109</v>
      </c>
      <c r="W2" s="21" t="s">
        <v>267</v>
      </c>
      <c r="X2" s="21" t="s">
        <v>268</v>
      </c>
      <c r="Y2" s="21" t="s">
        <v>11</v>
      </c>
      <c r="Z2" s="21" t="s">
        <v>12</v>
      </c>
      <c r="AA2" s="21" t="s">
        <v>14</v>
      </c>
      <c r="AB2" s="21" t="s">
        <v>110</v>
      </c>
      <c r="AC2" s="21" t="s">
        <v>295</v>
      </c>
      <c r="AD2" s="21" t="s">
        <v>136</v>
      </c>
      <c r="AE2" s="21" t="s">
        <v>299</v>
      </c>
      <c r="AF2" s="34" t="s">
        <v>302</v>
      </c>
      <c r="AG2" s="21" t="s">
        <v>275</v>
      </c>
      <c r="AH2" s="21" t="s">
        <v>277</v>
      </c>
      <c r="AI2" s="21" t="s">
        <v>276</v>
      </c>
      <c r="AJ2" s="21" t="s">
        <v>290</v>
      </c>
      <c r="BB2" s="28"/>
      <c r="BC2" s="28"/>
    </row>
    <row r="3" spans="1:55" x14ac:dyDescent="0.7">
      <c r="B3" s="1" t="s">
        <v>137</v>
      </c>
      <c r="C3" s="14" t="s">
        <v>138</v>
      </c>
      <c r="D3" s="1" t="s">
        <v>27</v>
      </c>
      <c r="E3" s="18">
        <f t="shared" ref="E3:E10" si="0">COUNTIF(G3:YD3,"Yes")</f>
        <v>19</v>
      </c>
      <c r="F3" s="14">
        <f t="shared" ref="F3:F10" si="1">SUM(E3,COUNTIF(G3:YD3,"Client"))</f>
        <v>22</v>
      </c>
      <c r="G3" s="14" t="s">
        <v>28</v>
      </c>
      <c r="H3" s="14" t="s">
        <v>28</v>
      </c>
      <c r="I3" s="14" t="s">
        <v>29</v>
      </c>
      <c r="J3" s="14" t="s">
        <v>28</v>
      </c>
      <c r="K3" s="14"/>
      <c r="L3" s="14" t="s">
        <v>28</v>
      </c>
      <c r="M3" s="14" t="s">
        <v>28</v>
      </c>
      <c r="N3" s="14" t="s">
        <v>28</v>
      </c>
      <c r="O3" s="14"/>
      <c r="P3" s="14" t="s">
        <v>28</v>
      </c>
      <c r="Q3" s="14" t="s">
        <v>28</v>
      </c>
      <c r="R3" s="14" t="s">
        <v>28</v>
      </c>
      <c r="S3" s="14" t="s">
        <v>28</v>
      </c>
      <c r="T3" s="14"/>
      <c r="U3" s="14"/>
      <c r="V3" s="14"/>
      <c r="W3" s="14" t="s">
        <v>28</v>
      </c>
      <c r="X3" s="14" t="s">
        <v>28</v>
      </c>
      <c r="Y3" s="14" t="s">
        <v>28</v>
      </c>
      <c r="Z3" s="14" t="s">
        <v>29</v>
      </c>
      <c r="AA3" s="14" t="s">
        <v>28</v>
      </c>
      <c r="AB3" s="14" t="s">
        <v>28</v>
      </c>
      <c r="AC3" s="14"/>
      <c r="AD3" s="14"/>
      <c r="AE3" s="14"/>
      <c r="AF3" s="1" t="s">
        <v>28</v>
      </c>
      <c r="AG3" s="14" t="s">
        <v>28</v>
      </c>
      <c r="AH3" s="14" t="s">
        <v>28</v>
      </c>
      <c r="AI3" s="14" t="s">
        <v>28</v>
      </c>
      <c r="AJ3" s="14" t="s">
        <v>29</v>
      </c>
      <c r="BB3" s="14"/>
      <c r="BC3" s="14"/>
    </row>
    <row r="4" spans="1:55" x14ac:dyDescent="0.7">
      <c r="B4" s="1" t="s">
        <v>296</v>
      </c>
      <c r="C4" s="14" t="s">
        <v>139</v>
      </c>
      <c r="D4" s="1" t="s">
        <v>27</v>
      </c>
      <c r="E4" s="18">
        <f t="shared" si="0"/>
        <v>21</v>
      </c>
      <c r="F4" s="14">
        <f t="shared" si="1"/>
        <v>24</v>
      </c>
      <c r="G4" s="14" t="s">
        <v>28</v>
      </c>
      <c r="H4" s="14" t="s">
        <v>28</v>
      </c>
      <c r="I4" s="14" t="s">
        <v>29</v>
      </c>
      <c r="J4" s="14" t="s">
        <v>28</v>
      </c>
      <c r="K4" s="14"/>
      <c r="L4" s="14" t="s">
        <v>28</v>
      </c>
      <c r="M4" s="14" t="s">
        <v>28</v>
      </c>
      <c r="N4" s="14" t="s">
        <v>28</v>
      </c>
      <c r="O4" s="14"/>
      <c r="P4" s="14" t="s">
        <v>28</v>
      </c>
      <c r="Q4" s="14" t="s">
        <v>28</v>
      </c>
      <c r="R4" s="14" t="s">
        <v>28</v>
      </c>
      <c r="S4" s="14" t="s">
        <v>28</v>
      </c>
      <c r="T4" s="14"/>
      <c r="U4" s="14"/>
      <c r="V4" s="14"/>
      <c r="W4" s="14" t="s">
        <v>28</v>
      </c>
      <c r="X4" s="14" t="s">
        <v>28</v>
      </c>
      <c r="Y4" s="14" t="s">
        <v>28</v>
      </c>
      <c r="Z4" s="14" t="s">
        <v>29</v>
      </c>
      <c r="AA4" s="14" t="s">
        <v>28</v>
      </c>
      <c r="AB4" s="14" t="s">
        <v>28</v>
      </c>
      <c r="AC4" s="14" t="s">
        <v>28</v>
      </c>
      <c r="AD4" s="14" t="s">
        <v>28</v>
      </c>
      <c r="AE4" s="14" t="s">
        <v>28</v>
      </c>
      <c r="AF4" s="14"/>
      <c r="AG4" s="14" t="s">
        <v>28</v>
      </c>
      <c r="AH4" s="14" t="s">
        <v>28</v>
      </c>
      <c r="AI4" s="14" t="s">
        <v>28</v>
      </c>
      <c r="AJ4" s="14" t="s">
        <v>29</v>
      </c>
      <c r="BB4" s="14"/>
      <c r="BC4" s="14"/>
    </row>
    <row r="5" spans="1:55" x14ac:dyDescent="0.7">
      <c r="B5" s="1" t="s">
        <v>140</v>
      </c>
      <c r="C5" s="14" t="s">
        <v>141</v>
      </c>
      <c r="D5" s="1" t="s">
        <v>27</v>
      </c>
      <c r="E5" s="18">
        <f t="shared" si="0"/>
        <v>19</v>
      </c>
      <c r="F5" s="14">
        <f t="shared" si="1"/>
        <v>22</v>
      </c>
      <c r="G5" s="14" t="s">
        <v>28</v>
      </c>
      <c r="H5" s="14" t="s">
        <v>28</v>
      </c>
      <c r="I5" s="14" t="s">
        <v>29</v>
      </c>
      <c r="J5" s="14" t="s">
        <v>28</v>
      </c>
      <c r="K5" s="14"/>
      <c r="L5" s="14" t="s">
        <v>28</v>
      </c>
      <c r="M5" s="14" t="s">
        <v>28</v>
      </c>
      <c r="N5" s="14" t="s">
        <v>28</v>
      </c>
      <c r="O5" s="14"/>
      <c r="P5" s="14" t="s">
        <v>28</v>
      </c>
      <c r="Q5" s="14" t="s">
        <v>28</v>
      </c>
      <c r="R5" s="14" t="s">
        <v>28</v>
      </c>
      <c r="S5" s="14" t="s">
        <v>28</v>
      </c>
      <c r="T5" s="14"/>
      <c r="U5" s="14"/>
      <c r="V5" s="14" t="s">
        <v>28</v>
      </c>
      <c r="W5" s="14" t="s">
        <v>28</v>
      </c>
      <c r="X5" s="14" t="s">
        <v>28</v>
      </c>
      <c r="Y5" s="14" t="s">
        <v>28</v>
      </c>
      <c r="Z5" s="14" t="s">
        <v>29</v>
      </c>
      <c r="AA5" s="14" t="s">
        <v>28</v>
      </c>
      <c r="AB5" s="14" t="s">
        <v>28</v>
      </c>
      <c r="AC5" s="14"/>
      <c r="AD5" s="14"/>
      <c r="AE5" s="14"/>
      <c r="AF5" s="14"/>
      <c r="AG5" s="14" t="s">
        <v>28</v>
      </c>
      <c r="AH5" s="14" t="s">
        <v>28</v>
      </c>
      <c r="AI5" s="14" t="s">
        <v>28</v>
      </c>
      <c r="AJ5" s="14" t="s">
        <v>29</v>
      </c>
      <c r="BB5" s="14"/>
      <c r="BC5" s="14"/>
    </row>
    <row r="6" spans="1:55" x14ac:dyDescent="0.7">
      <c r="B6" s="1" t="s">
        <v>142</v>
      </c>
      <c r="C6" s="14" t="s">
        <v>143</v>
      </c>
      <c r="D6" s="1" t="s">
        <v>33</v>
      </c>
      <c r="E6" s="18">
        <f t="shared" si="0"/>
        <v>20</v>
      </c>
      <c r="F6" s="14">
        <f t="shared" si="1"/>
        <v>23</v>
      </c>
      <c r="G6" s="14" t="s">
        <v>28</v>
      </c>
      <c r="H6" s="14" t="s">
        <v>28</v>
      </c>
      <c r="I6" s="14" t="s">
        <v>29</v>
      </c>
      <c r="J6" s="14" t="s">
        <v>28</v>
      </c>
      <c r="K6" s="14" t="s">
        <v>28</v>
      </c>
      <c r="L6" s="14" t="s">
        <v>28</v>
      </c>
      <c r="M6" s="14" t="s">
        <v>28</v>
      </c>
      <c r="N6" s="14" t="s">
        <v>28</v>
      </c>
      <c r="O6" s="14"/>
      <c r="P6" s="14" t="s">
        <v>28</v>
      </c>
      <c r="Q6" s="14" t="s">
        <v>28</v>
      </c>
      <c r="R6" s="14" t="s">
        <v>28</v>
      </c>
      <c r="S6" s="14" t="s">
        <v>28</v>
      </c>
      <c r="T6" s="14"/>
      <c r="U6" s="14"/>
      <c r="V6" s="14" t="s">
        <v>28</v>
      </c>
      <c r="W6" s="14" t="s">
        <v>28</v>
      </c>
      <c r="X6" s="14" t="s">
        <v>28</v>
      </c>
      <c r="Y6" s="14" t="s">
        <v>28</v>
      </c>
      <c r="Z6" s="14" t="s">
        <v>29</v>
      </c>
      <c r="AA6" s="14" t="s">
        <v>28</v>
      </c>
      <c r="AB6" s="14" t="s">
        <v>28</v>
      </c>
      <c r="AC6" s="14"/>
      <c r="AD6" s="14"/>
      <c r="AE6" s="14"/>
      <c r="AF6" s="14"/>
      <c r="AG6" s="14" t="s">
        <v>28</v>
      </c>
      <c r="AH6" s="14" t="s">
        <v>28</v>
      </c>
      <c r="AI6" s="14" t="s">
        <v>28</v>
      </c>
      <c r="AJ6" s="14" t="s">
        <v>29</v>
      </c>
      <c r="BB6" s="14"/>
      <c r="BC6" s="14"/>
    </row>
    <row r="7" spans="1:55" x14ac:dyDescent="0.7">
      <c r="B7" s="1" t="s">
        <v>297</v>
      </c>
      <c r="C7" s="14" t="s">
        <v>144</v>
      </c>
      <c r="D7" s="1" t="s">
        <v>33</v>
      </c>
      <c r="E7" s="18">
        <f t="shared" si="0"/>
        <v>21</v>
      </c>
      <c r="F7" s="14">
        <f t="shared" si="1"/>
        <v>24</v>
      </c>
      <c r="G7" s="14" t="s">
        <v>28</v>
      </c>
      <c r="H7" s="14" t="s">
        <v>28</v>
      </c>
      <c r="I7" s="14" t="s">
        <v>29</v>
      </c>
      <c r="J7" s="14" t="s">
        <v>28</v>
      </c>
      <c r="K7" s="14"/>
      <c r="L7" s="14" t="s">
        <v>28</v>
      </c>
      <c r="M7" s="14" t="s">
        <v>28</v>
      </c>
      <c r="N7" s="14" t="s">
        <v>28</v>
      </c>
      <c r="O7" s="14"/>
      <c r="P7" s="14" t="s">
        <v>28</v>
      </c>
      <c r="Q7" s="14" t="s">
        <v>28</v>
      </c>
      <c r="R7" s="14" t="s">
        <v>28</v>
      </c>
      <c r="S7" s="14" t="s">
        <v>28</v>
      </c>
      <c r="T7" s="14"/>
      <c r="U7" s="14"/>
      <c r="V7" s="14"/>
      <c r="W7" s="14" t="s">
        <v>28</v>
      </c>
      <c r="X7" s="14" t="s">
        <v>28</v>
      </c>
      <c r="Y7" s="14" t="s">
        <v>28</v>
      </c>
      <c r="Z7" s="14" t="s">
        <v>29</v>
      </c>
      <c r="AA7" s="14" t="s">
        <v>28</v>
      </c>
      <c r="AB7" s="14" t="s">
        <v>28</v>
      </c>
      <c r="AC7" s="14" t="s">
        <v>28</v>
      </c>
      <c r="AD7" s="14" t="s">
        <v>28</v>
      </c>
      <c r="AE7" s="14" t="s">
        <v>28</v>
      </c>
      <c r="AF7" s="14"/>
      <c r="AG7" s="14" t="s">
        <v>28</v>
      </c>
      <c r="AH7" s="14" t="s">
        <v>28</v>
      </c>
      <c r="AI7" s="14" t="s">
        <v>28</v>
      </c>
      <c r="AJ7" s="14" t="s">
        <v>29</v>
      </c>
      <c r="BB7" s="14"/>
      <c r="BC7" s="14"/>
    </row>
    <row r="8" spans="1:55" x14ac:dyDescent="0.7">
      <c r="B8" s="1" t="s">
        <v>298</v>
      </c>
      <c r="C8" s="14" t="s">
        <v>145</v>
      </c>
      <c r="D8" s="1" t="s">
        <v>33</v>
      </c>
      <c r="E8" s="18">
        <f t="shared" si="0"/>
        <v>18</v>
      </c>
      <c r="F8" s="14">
        <f t="shared" si="1"/>
        <v>21</v>
      </c>
      <c r="G8" s="14" t="s">
        <v>28</v>
      </c>
      <c r="H8" s="14" t="s">
        <v>28</v>
      </c>
      <c r="I8" s="14" t="s">
        <v>29</v>
      </c>
      <c r="J8" s="14" t="s">
        <v>28</v>
      </c>
      <c r="K8" s="14"/>
      <c r="L8" s="14" t="s">
        <v>28</v>
      </c>
      <c r="M8" s="14" t="s">
        <v>28</v>
      </c>
      <c r="N8" s="14" t="s">
        <v>28</v>
      </c>
      <c r="O8" s="14"/>
      <c r="P8" s="14" t="s">
        <v>28</v>
      </c>
      <c r="Q8" s="14" t="s">
        <v>28</v>
      </c>
      <c r="R8" s="14" t="s">
        <v>28</v>
      </c>
      <c r="S8" s="14" t="s">
        <v>28</v>
      </c>
      <c r="T8" s="14"/>
      <c r="U8" s="14"/>
      <c r="V8" s="14"/>
      <c r="W8" s="14"/>
      <c r="X8" s="14"/>
      <c r="Y8" s="14" t="s">
        <v>28</v>
      </c>
      <c r="Z8" s="14" t="s">
        <v>29</v>
      </c>
      <c r="AA8" s="14" t="s">
        <v>28</v>
      </c>
      <c r="AB8" s="14" t="s">
        <v>28</v>
      </c>
      <c r="AC8" s="14" t="s">
        <v>28</v>
      </c>
      <c r="AD8" s="14" t="s">
        <v>28</v>
      </c>
      <c r="AE8" s="14" t="s">
        <v>28</v>
      </c>
      <c r="AF8" s="14"/>
      <c r="AG8" s="14" t="s">
        <v>28</v>
      </c>
      <c r="AH8" s="14"/>
      <c r="AI8" s="14" t="s">
        <v>28</v>
      </c>
      <c r="AJ8" s="14" t="s">
        <v>29</v>
      </c>
      <c r="BB8" s="14"/>
      <c r="BC8" s="14"/>
    </row>
    <row r="9" spans="1:55" x14ac:dyDescent="0.7">
      <c r="B9" s="1" t="s">
        <v>128</v>
      </c>
      <c r="C9" s="14" t="s">
        <v>129</v>
      </c>
      <c r="D9" s="1" t="s">
        <v>130</v>
      </c>
      <c r="E9" s="18">
        <f t="shared" si="0"/>
        <v>18</v>
      </c>
      <c r="F9" s="14">
        <f t="shared" si="1"/>
        <v>21</v>
      </c>
      <c r="G9" s="14" t="s">
        <v>28</v>
      </c>
      <c r="H9" s="14" t="s">
        <v>28</v>
      </c>
      <c r="I9" s="14" t="s">
        <v>29</v>
      </c>
      <c r="J9" s="14" t="s">
        <v>28</v>
      </c>
      <c r="K9" s="14"/>
      <c r="L9" s="14" t="s">
        <v>28</v>
      </c>
      <c r="M9" s="14" t="s">
        <v>28</v>
      </c>
      <c r="N9" s="14" t="s">
        <v>28</v>
      </c>
      <c r="O9" s="14" t="s">
        <v>28</v>
      </c>
      <c r="P9" s="14" t="s">
        <v>28</v>
      </c>
      <c r="Q9" s="14" t="s">
        <v>28</v>
      </c>
      <c r="R9" s="14" t="s">
        <v>28</v>
      </c>
      <c r="S9" s="14" t="s">
        <v>28</v>
      </c>
      <c r="T9" s="14" t="s">
        <v>28</v>
      </c>
      <c r="U9" s="14" t="s">
        <v>28</v>
      </c>
      <c r="V9" s="14"/>
      <c r="W9" s="14"/>
      <c r="X9" s="14"/>
      <c r="Y9" s="14" t="s">
        <v>28</v>
      </c>
      <c r="Z9" s="14" t="s">
        <v>29</v>
      </c>
      <c r="AA9" s="14" t="s">
        <v>28</v>
      </c>
      <c r="AB9" s="14" t="s">
        <v>28</v>
      </c>
      <c r="AC9" s="14"/>
      <c r="AD9" s="14"/>
      <c r="AE9" s="14"/>
      <c r="AF9" s="14"/>
      <c r="AG9" s="14" t="s">
        <v>28</v>
      </c>
      <c r="AH9" s="14"/>
      <c r="AI9" s="14" t="s">
        <v>28</v>
      </c>
      <c r="AJ9" s="14" t="s">
        <v>29</v>
      </c>
      <c r="BB9" s="14"/>
      <c r="BC9" s="14"/>
    </row>
    <row r="10" spans="1:55" x14ac:dyDescent="0.7">
      <c r="B10" s="1" t="s">
        <v>146</v>
      </c>
      <c r="C10" s="14" t="s">
        <v>147</v>
      </c>
      <c r="D10" s="1" t="s">
        <v>130</v>
      </c>
      <c r="E10" s="18">
        <f t="shared" si="0"/>
        <v>18</v>
      </c>
      <c r="F10" s="14">
        <f t="shared" si="1"/>
        <v>21</v>
      </c>
      <c r="G10" s="14" t="s">
        <v>28</v>
      </c>
      <c r="H10" s="14" t="s">
        <v>28</v>
      </c>
      <c r="I10" s="14" t="s">
        <v>29</v>
      </c>
      <c r="J10" s="14" t="s">
        <v>28</v>
      </c>
      <c r="K10" s="14"/>
      <c r="L10" s="14" t="s">
        <v>28</v>
      </c>
      <c r="M10" s="14" t="s">
        <v>28</v>
      </c>
      <c r="N10" s="14" t="s">
        <v>28</v>
      </c>
      <c r="O10" s="14" t="s">
        <v>28</v>
      </c>
      <c r="P10" s="14" t="s">
        <v>28</v>
      </c>
      <c r="Q10" s="14" t="s">
        <v>28</v>
      </c>
      <c r="R10" s="14" t="s">
        <v>28</v>
      </c>
      <c r="S10" s="14" t="s">
        <v>28</v>
      </c>
      <c r="T10" s="14" t="s">
        <v>28</v>
      </c>
      <c r="U10" s="14" t="s">
        <v>28</v>
      </c>
      <c r="V10" s="14"/>
      <c r="W10" s="14"/>
      <c r="X10" s="14"/>
      <c r="Y10" s="14" t="s">
        <v>28</v>
      </c>
      <c r="Z10" s="14" t="s">
        <v>29</v>
      </c>
      <c r="AA10" s="14" t="s">
        <v>28</v>
      </c>
      <c r="AB10" s="14" t="s">
        <v>28</v>
      </c>
      <c r="AC10" s="14"/>
      <c r="AD10" s="14"/>
      <c r="AE10" s="14"/>
      <c r="AF10" s="14"/>
      <c r="AG10" s="14" t="s">
        <v>28</v>
      </c>
      <c r="AH10" s="14"/>
      <c r="AI10" s="14" t="s">
        <v>28</v>
      </c>
      <c r="AJ10" s="14" t="s">
        <v>29</v>
      </c>
      <c r="BB10" s="14"/>
      <c r="BC10" s="14"/>
    </row>
    <row r="26" spans="3:3" x14ac:dyDescent="0.7">
      <c r="C26" s="1" t="str">
        <f>UPPER(C11)</f>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B0178-62D1-4141-8954-E4EC025181AC}">
  <dimension ref="A1:AN13"/>
  <sheetViews>
    <sheetView topLeftCell="AJ1" workbookViewId="0">
      <selection activeCell="AM17" sqref="AM17"/>
    </sheetView>
  </sheetViews>
  <sheetFormatPr defaultColWidth="9.15625" defaultRowHeight="18.3" x14ac:dyDescent="0.7"/>
  <cols>
    <col min="1" max="1" width="7.68359375" style="1" bestFit="1" customWidth="1"/>
    <col min="2" max="2" width="51.83984375" style="1" bestFit="1" customWidth="1"/>
    <col min="3" max="3" width="13" style="1" bestFit="1" customWidth="1"/>
    <col min="4" max="4" width="18.15625" style="1" bestFit="1" customWidth="1"/>
    <col min="5" max="5" width="16.578125" style="1" bestFit="1" customWidth="1"/>
    <col min="6" max="6" width="16" style="1" bestFit="1" customWidth="1"/>
    <col min="7" max="7" width="30.68359375" style="1" bestFit="1" customWidth="1"/>
    <col min="8" max="8" width="25.15625" style="1" bestFit="1" customWidth="1"/>
    <col min="9" max="9" width="18.15625" style="1" bestFit="1" customWidth="1"/>
    <col min="10" max="10" width="29.68359375" style="1" bestFit="1" customWidth="1"/>
    <col min="11" max="11" width="22" style="1" bestFit="1" customWidth="1"/>
    <col min="12" max="12" width="18.68359375" style="1" bestFit="1" customWidth="1"/>
    <col min="13" max="13" width="32.578125" style="1" bestFit="1" customWidth="1"/>
    <col min="14" max="14" width="20.578125" style="1" bestFit="1" customWidth="1"/>
    <col min="15" max="15" width="13.68359375" style="1" bestFit="1" customWidth="1"/>
    <col min="16" max="16" width="30.83984375" style="1" bestFit="1" customWidth="1"/>
    <col min="17" max="17" width="35" style="1" bestFit="1" customWidth="1"/>
    <col min="18" max="18" width="21.68359375" style="1" bestFit="1" customWidth="1"/>
    <col min="19" max="19" width="50.83984375" style="1" bestFit="1" customWidth="1"/>
    <col min="20" max="20" width="25.41796875" style="1" bestFit="1" customWidth="1"/>
    <col min="21" max="21" width="39.68359375" style="1" bestFit="1" customWidth="1"/>
    <col min="22" max="22" width="15.68359375" style="1" bestFit="1" customWidth="1"/>
    <col min="23" max="23" width="27.68359375" style="1" bestFit="1" customWidth="1"/>
    <col min="24" max="24" width="28.578125" style="1" bestFit="1" customWidth="1"/>
    <col min="25" max="25" width="32.83984375" style="1" bestFit="1" customWidth="1"/>
    <col min="26" max="26" width="11.68359375" style="1" bestFit="1" customWidth="1"/>
    <col min="27" max="27" width="27.68359375" style="1" bestFit="1" customWidth="1"/>
    <col min="28" max="28" width="44.83984375" style="1" bestFit="1" customWidth="1"/>
    <col min="29" max="29" width="31.15625" style="1" bestFit="1" customWidth="1"/>
    <col min="30" max="30" width="19.83984375" style="1" bestFit="1" customWidth="1"/>
    <col min="31" max="31" width="18" style="1" bestFit="1" customWidth="1"/>
    <col min="32" max="32" width="30.15625" style="1" bestFit="1" customWidth="1"/>
    <col min="33" max="33" width="38" style="1" bestFit="1" customWidth="1"/>
    <col min="34" max="34" width="22" style="1" bestFit="1" customWidth="1"/>
    <col min="35" max="35" width="30.68359375" style="1" bestFit="1" customWidth="1"/>
    <col min="36" max="36" width="36" style="1" bestFit="1" customWidth="1"/>
    <col min="37" max="37" width="46.578125" style="1" bestFit="1" customWidth="1"/>
    <col min="38" max="38" width="49.15625" style="1" bestFit="1" customWidth="1"/>
    <col min="39" max="39" width="49.15625" style="1" customWidth="1"/>
    <col min="40" max="40" width="34.578125" style="1" bestFit="1" customWidth="1"/>
    <col min="41" max="41" width="18.68359375" style="1" bestFit="1" customWidth="1"/>
    <col min="42" max="42" width="30.83984375" style="1" bestFit="1" customWidth="1"/>
    <col min="43" max="43" width="32.578125" style="1" bestFit="1" customWidth="1"/>
    <col min="44" max="44" width="30.83984375" style="1" customWidth="1"/>
    <col min="45" max="45" width="46.578125" style="1" bestFit="1" customWidth="1"/>
    <col min="46" max="46" width="17.15625" style="1" customWidth="1"/>
    <col min="47" max="47" width="13.15625" style="1" customWidth="1"/>
    <col min="48" max="48" width="5.83984375" style="1" customWidth="1"/>
    <col min="49" max="49" width="28.578125" style="1" customWidth="1"/>
    <col min="50" max="51" width="17.83984375" style="1" customWidth="1"/>
    <col min="52" max="52" width="30.15625" style="1" customWidth="1"/>
    <col min="53" max="53" width="21.15625" style="1" customWidth="1"/>
    <col min="54" max="54" width="31.15625" style="1" customWidth="1"/>
    <col min="55" max="55" width="36.83984375" style="1" customWidth="1"/>
    <col min="56" max="56" width="13.83984375" style="1" customWidth="1"/>
    <col min="57" max="57" width="31.15625" style="1" bestFit="1" customWidth="1"/>
    <col min="58" max="58" width="50.41796875" style="1" customWidth="1"/>
    <col min="59" max="59" width="35.578125" style="1" customWidth="1"/>
    <col min="60" max="60" width="41.15625" style="1" customWidth="1"/>
    <col min="61" max="61" width="28.15625" style="1" customWidth="1"/>
    <col min="62" max="62" width="34.68359375" style="1" bestFit="1" customWidth="1"/>
    <col min="63" max="63" width="13.578125" style="1" customWidth="1"/>
    <col min="64" max="64" width="57.41796875" style="1" customWidth="1"/>
    <col min="65" max="65" width="25.15625" style="1" customWidth="1"/>
    <col min="66" max="66" width="5" style="1" customWidth="1"/>
    <col min="67" max="67" width="64.15625" style="1" customWidth="1"/>
    <col min="68" max="68" width="23.68359375" style="1" customWidth="1"/>
    <col min="69" max="69" width="28.15625" style="1" customWidth="1"/>
    <col min="70" max="70" width="28.578125" style="1" customWidth="1"/>
    <col min="71" max="71" width="57.68359375" style="1" customWidth="1"/>
    <col min="72" max="72" width="41.15625" style="1" customWidth="1"/>
    <col min="73" max="73" width="38.68359375" style="1" customWidth="1"/>
    <col min="74" max="74" width="25" style="1" customWidth="1"/>
    <col min="75" max="76" width="28" style="1" customWidth="1"/>
    <col min="77" max="77" width="33.68359375" style="1" customWidth="1"/>
    <col min="78" max="78" width="42.15625" style="1" customWidth="1"/>
    <col min="79" max="79" width="24.578125" style="1" customWidth="1"/>
    <col min="80" max="80" width="48.578125" style="1" customWidth="1"/>
    <col min="81" max="81" width="34.41796875" style="1" bestFit="1" customWidth="1"/>
    <col min="82" max="82" width="20" style="1" customWidth="1"/>
    <col min="83" max="83" width="26.41796875" style="1" customWidth="1"/>
    <col min="84" max="84" width="12.15625" style="1" customWidth="1"/>
    <col min="85" max="85" width="15.68359375" style="1" customWidth="1"/>
    <col min="86" max="86" width="41.83984375" style="1" customWidth="1"/>
    <col min="87" max="87" width="19.68359375" style="1" customWidth="1"/>
    <col min="88" max="88" width="63.578125" style="1" customWidth="1"/>
    <col min="89" max="89" width="51.578125" style="1" customWidth="1"/>
    <col min="90" max="90" width="78.578125" style="1" customWidth="1"/>
    <col min="91" max="91" width="41.15625" style="1" customWidth="1"/>
    <col min="92" max="16384" width="9.15625" style="1"/>
  </cols>
  <sheetData>
    <row r="1" spans="1:40" ht="18.75" customHeight="1" x14ac:dyDescent="0.7">
      <c r="A1" s="12" t="s">
        <v>148</v>
      </c>
    </row>
    <row r="2" spans="1:40" s="23" customFormat="1" x14ac:dyDescent="0.55000000000000004">
      <c r="A2" s="19" t="s">
        <v>1</v>
      </c>
      <c r="B2" s="20" t="s">
        <v>2</v>
      </c>
      <c r="C2" s="21" t="s">
        <v>3</v>
      </c>
      <c r="D2" s="19" t="s">
        <v>4</v>
      </c>
      <c r="E2" s="19" t="s">
        <v>5</v>
      </c>
      <c r="F2" s="19" t="s">
        <v>6</v>
      </c>
      <c r="G2" s="24" t="s">
        <v>149</v>
      </c>
      <c r="H2" s="24" t="s">
        <v>150</v>
      </c>
      <c r="I2" s="24" t="s">
        <v>151</v>
      </c>
      <c r="J2" s="24" t="s">
        <v>152</v>
      </c>
      <c r="K2" s="21" t="s">
        <v>285</v>
      </c>
      <c r="L2" s="21" t="s">
        <v>286</v>
      </c>
      <c r="M2" s="21" t="s">
        <v>288</v>
      </c>
      <c r="N2" s="21" t="s">
        <v>284</v>
      </c>
      <c r="O2" s="24" t="s">
        <v>8</v>
      </c>
      <c r="P2" s="21" t="s">
        <v>287</v>
      </c>
      <c r="Q2" s="21" t="s">
        <v>293</v>
      </c>
      <c r="R2" s="24" t="s">
        <v>270</v>
      </c>
      <c r="S2" s="24" t="s">
        <v>153</v>
      </c>
      <c r="T2" s="24" t="s">
        <v>154</v>
      </c>
      <c r="U2" s="24" t="s">
        <v>155</v>
      </c>
      <c r="V2" s="24" t="s">
        <v>156</v>
      </c>
      <c r="W2" s="24" t="s">
        <v>157</v>
      </c>
      <c r="X2" s="24" t="s">
        <v>158</v>
      </c>
      <c r="Y2" s="24" t="s">
        <v>159</v>
      </c>
      <c r="Z2" s="24" t="s">
        <v>160</v>
      </c>
      <c r="AA2" s="24" t="s">
        <v>13</v>
      </c>
      <c r="AB2" s="24" t="s">
        <v>161</v>
      </c>
      <c r="AC2" s="24" t="s">
        <v>162</v>
      </c>
      <c r="AD2" s="24" t="s">
        <v>278</v>
      </c>
      <c r="AE2" s="24" t="s">
        <v>163</v>
      </c>
      <c r="AF2" s="24" t="s">
        <v>22</v>
      </c>
      <c r="AG2" s="24" t="s">
        <v>164</v>
      </c>
      <c r="AH2" s="24" t="s">
        <v>23</v>
      </c>
      <c r="AI2" s="24" t="s">
        <v>165</v>
      </c>
      <c r="AJ2" s="21" t="s">
        <v>167</v>
      </c>
      <c r="AK2" s="21" t="s">
        <v>166</v>
      </c>
      <c r="AL2" s="21" t="s">
        <v>269</v>
      </c>
      <c r="AM2" s="34" t="s">
        <v>305</v>
      </c>
      <c r="AN2" s="34" t="s">
        <v>303</v>
      </c>
    </row>
    <row r="3" spans="1:40" x14ac:dyDescent="0.7">
      <c r="B3" s="1" t="s">
        <v>168</v>
      </c>
      <c r="C3" s="14" t="s">
        <v>169</v>
      </c>
      <c r="D3" s="1" t="s">
        <v>27</v>
      </c>
      <c r="E3" s="14">
        <f t="shared" ref="E3:E13" si="0">COUNTIF(G3:YD3,"Yes")</f>
        <v>10</v>
      </c>
      <c r="F3" s="14">
        <f t="shared" ref="F3:F13" si="1">SUM(E3,COUNTIF(G3:YD3,"Client"))</f>
        <v>18</v>
      </c>
      <c r="G3" s="1" t="s">
        <v>28</v>
      </c>
      <c r="H3" s="1" t="s">
        <v>28</v>
      </c>
      <c r="I3" s="1" t="s">
        <v>28</v>
      </c>
      <c r="K3" s="14"/>
      <c r="L3" s="14"/>
      <c r="M3" s="14"/>
      <c r="N3" s="14"/>
      <c r="O3" s="1" t="s">
        <v>29</v>
      </c>
      <c r="P3" s="14"/>
      <c r="Q3" s="14"/>
      <c r="R3" s="1" t="s">
        <v>28</v>
      </c>
      <c r="S3" s="1" t="s">
        <v>29</v>
      </c>
      <c r="U3" s="1" t="s">
        <v>28</v>
      </c>
      <c r="W3" s="1" t="s">
        <v>29</v>
      </c>
      <c r="X3" s="1" t="s">
        <v>29</v>
      </c>
      <c r="Y3" s="1" t="s">
        <v>29</v>
      </c>
      <c r="Z3" s="1" t="s">
        <v>29</v>
      </c>
      <c r="AA3" s="1" t="s">
        <v>29</v>
      </c>
      <c r="AB3" s="1" t="s">
        <v>29</v>
      </c>
      <c r="AC3" s="1" t="s">
        <v>28</v>
      </c>
      <c r="AD3" s="31" t="s">
        <v>28</v>
      </c>
      <c r="AH3" s="1" t="s">
        <v>28</v>
      </c>
      <c r="AI3" s="1" t="s">
        <v>28</v>
      </c>
      <c r="AJ3" s="14"/>
      <c r="AK3" s="14"/>
      <c r="AL3" s="14"/>
      <c r="AM3" s="1" t="s">
        <v>28</v>
      </c>
    </row>
    <row r="4" spans="1:40" x14ac:dyDescent="0.7">
      <c r="B4" s="1" t="s">
        <v>170</v>
      </c>
      <c r="C4" s="14" t="s">
        <v>171</v>
      </c>
      <c r="D4" s="1" t="s">
        <v>27</v>
      </c>
      <c r="E4" s="14">
        <f t="shared" si="0"/>
        <v>10</v>
      </c>
      <c r="F4" s="14">
        <f t="shared" si="1"/>
        <v>18</v>
      </c>
      <c r="G4" s="1" t="s">
        <v>28</v>
      </c>
      <c r="H4" s="1" t="s">
        <v>28</v>
      </c>
      <c r="I4" s="1" t="s">
        <v>28</v>
      </c>
      <c r="J4" s="1" t="s">
        <v>28</v>
      </c>
      <c r="K4" s="14"/>
      <c r="L4" s="14"/>
      <c r="M4" s="14"/>
      <c r="N4" s="14"/>
      <c r="O4" s="1" t="s">
        <v>29</v>
      </c>
      <c r="P4" s="14"/>
      <c r="Q4" s="14"/>
      <c r="R4" s="1" t="s">
        <v>28</v>
      </c>
      <c r="S4" s="1" t="s">
        <v>29</v>
      </c>
      <c r="U4" s="1" t="s">
        <v>28</v>
      </c>
      <c r="W4" s="1" t="s">
        <v>29</v>
      </c>
      <c r="X4" s="1" t="s">
        <v>29</v>
      </c>
      <c r="Y4" s="1" t="s">
        <v>29</v>
      </c>
      <c r="Z4" s="1" t="s">
        <v>29</v>
      </c>
      <c r="AA4" s="1" t="s">
        <v>29</v>
      </c>
      <c r="AB4" s="1" t="s">
        <v>29</v>
      </c>
      <c r="AC4" s="1" t="s">
        <v>28</v>
      </c>
      <c r="AD4" s="31"/>
      <c r="AI4" s="1" t="s">
        <v>28</v>
      </c>
      <c r="AJ4" s="14"/>
      <c r="AK4" s="14" t="s">
        <v>28</v>
      </c>
      <c r="AL4" s="14"/>
      <c r="AM4" s="1" t="s">
        <v>28</v>
      </c>
    </row>
    <row r="5" spans="1:40" s="32" customFormat="1" x14ac:dyDescent="0.7">
      <c r="B5" s="32" t="s">
        <v>289</v>
      </c>
      <c r="C5" s="31" t="s">
        <v>172</v>
      </c>
      <c r="D5" s="32" t="s">
        <v>27</v>
      </c>
      <c r="E5" s="31">
        <f t="shared" si="0"/>
        <v>17</v>
      </c>
      <c r="F5" s="31">
        <f t="shared" si="1"/>
        <v>25</v>
      </c>
      <c r="H5" s="32" t="s">
        <v>28</v>
      </c>
      <c r="I5" s="32" t="s">
        <v>28</v>
      </c>
      <c r="K5" s="31" t="s">
        <v>28</v>
      </c>
      <c r="L5" s="31" t="s">
        <v>28</v>
      </c>
      <c r="M5" s="31" t="s">
        <v>28</v>
      </c>
      <c r="N5" s="31" t="s">
        <v>28</v>
      </c>
      <c r="O5" s="32" t="s">
        <v>29</v>
      </c>
      <c r="P5" s="31" t="s">
        <v>28</v>
      </c>
      <c r="Q5" s="31" t="s">
        <v>28</v>
      </c>
      <c r="R5" s="32" t="s">
        <v>28</v>
      </c>
      <c r="S5" s="32" t="s">
        <v>29</v>
      </c>
      <c r="T5" s="32" t="s">
        <v>28</v>
      </c>
      <c r="U5" s="32" t="s">
        <v>28</v>
      </c>
      <c r="W5" s="32" t="s">
        <v>29</v>
      </c>
      <c r="X5" s="32" t="s">
        <v>29</v>
      </c>
      <c r="Y5" s="32" t="s">
        <v>29</v>
      </c>
      <c r="Z5" s="32" t="s">
        <v>29</v>
      </c>
      <c r="AA5" s="32" t="s">
        <v>29</v>
      </c>
      <c r="AB5" s="32" t="s">
        <v>29</v>
      </c>
      <c r="AC5" s="32" t="s">
        <v>28</v>
      </c>
      <c r="AD5" s="31" t="s">
        <v>28</v>
      </c>
      <c r="AI5" s="32" t="s">
        <v>28</v>
      </c>
      <c r="AJ5" s="31"/>
      <c r="AK5" s="31" t="s">
        <v>28</v>
      </c>
      <c r="AL5" s="31" t="s">
        <v>28</v>
      </c>
      <c r="AM5" s="1" t="s">
        <v>28</v>
      </c>
    </row>
    <row r="6" spans="1:40" x14ac:dyDescent="0.7">
      <c r="B6" s="1" t="s">
        <v>173</v>
      </c>
      <c r="C6" s="14" t="s">
        <v>174</v>
      </c>
      <c r="D6" s="1" t="s">
        <v>33</v>
      </c>
      <c r="E6" s="14">
        <f t="shared" si="0"/>
        <v>8</v>
      </c>
      <c r="F6" s="14">
        <f t="shared" si="1"/>
        <v>15</v>
      </c>
      <c r="G6" s="1" t="s">
        <v>28</v>
      </c>
      <c r="H6" s="1" t="s">
        <v>28</v>
      </c>
      <c r="I6" s="1" t="s">
        <v>28</v>
      </c>
      <c r="N6" s="14"/>
      <c r="O6" s="1" t="s">
        <v>29</v>
      </c>
      <c r="R6" s="1" t="s">
        <v>28</v>
      </c>
      <c r="U6" s="1" t="s">
        <v>28</v>
      </c>
      <c r="W6" s="1" t="s">
        <v>29</v>
      </c>
      <c r="X6" s="1" t="s">
        <v>29</v>
      </c>
      <c r="Y6" s="1" t="s">
        <v>29</v>
      </c>
      <c r="Z6" s="1" t="s">
        <v>29</v>
      </c>
      <c r="AA6" s="1" t="s">
        <v>29</v>
      </c>
      <c r="AB6" s="1" t="s">
        <v>29</v>
      </c>
      <c r="AC6" s="1" t="s">
        <v>28</v>
      </c>
      <c r="AD6" s="31"/>
      <c r="AI6" s="1" t="s">
        <v>28</v>
      </c>
      <c r="AJ6" s="14"/>
      <c r="AK6" s="14"/>
      <c r="AL6" s="14"/>
      <c r="AM6" s="1" t="s">
        <v>28</v>
      </c>
    </row>
    <row r="7" spans="1:40" x14ac:dyDescent="0.7">
      <c r="B7" s="1" t="s">
        <v>175</v>
      </c>
      <c r="C7" s="14" t="s">
        <v>176</v>
      </c>
      <c r="D7" s="1" t="s">
        <v>33</v>
      </c>
      <c r="E7" s="14">
        <f t="shared" si="0"/>
        <v>12</v>
      </c>
      <c r="F7" s="14">
        <f t="shared" si="1"/>
        <v>19</v>
      </c>
      <c r="G7" s="1" t="s">
        <v>28</v>
      </c>
      <c r="H7" s="1" t="s">
        <v>28</v>
      </c>
      <c r="I7" s="1" t="s">
        <v>28</v>
      </c>
      <c r="N7" s="14"/>
      <c r="O7" s="1" t="s">
        <v>29</v>
      </c>
      <c r="R7" s="1" t="s">
        <v>28</v>
      </c>
      <c r="U7" s="1" t="s">
        <v>28</v>
      </c>
      <c r="W7" s="1" t="s">
        <v>29</v>
      </c>
      <c r="X7" s="1" t="s">
        <v>29</v>
      </c>
      <c r="Y7" s="1" t="s">
        <v>29</v>
      </c>
      <c r="Z7" s="1" t="s">
        <v>29</v>
      </c>
      <c r="AA7" s="1" t="s">
        <v>29</v>
      </c>
      <c r="AB7" s="1" t="s">
        <v>29</v>
      </c>
      <c r="AC7" s="1" t="s">
        <v>28</v>
      </c>
      <c r="AD7" s="31" t="s">
        <v>28</v>
      </c>
      <c r="AH7" s="1" t="s">
        <v>28</v>
      </c>
      <c r="AI7" s="1" t="s">
        <v>28</v>
      </c>
      <c r="AJ7" s="14"/>
      <c r="AK7" s="14" t="s">
        <v>28</v>
      </c>
      <c r="AL7" s="14"/>
      <c r="AM7" s="1" t="s">
        <v>28</v>
      </c>
      <c r="AN7" s="1" t="s">
        <v>28</v>
      </c>
    </row>
    <row r="8" spans="1:40" x14ac:dyDescent="0.7">
      <c r="B8" s="1" t="s">
        <v>177</v>
      </c>
      <c r="C8" s="14" t="s">
        <v>178</v>
      </c>
      <c r="D8" s="1" t="s">
        <v>33</v>
      </c>
      <c r="E8" s="14">
        <f t="shared" si="0"/>
        <v>10</v>
      </c>
      <c r="F8" s="14">
        <f t="shared" si="1"/>
        <v>17</v>
      </c>
      <c r="G8" s="1" t="s">
        <v>28</v>
      </c>
      <c r="H8" s="1" t="s">
        <v>28</v>
      </c>
      <c r="I8" s="1" t="s">
        <v>28</v>
      </c>
      <c r="N8" s="14"/>
      <c r="O8" s="1" t="s">
        <v>29</v>
      </c>
      <c r="R8" s="1" t="s">
        <v>28</v>
      </c>
      <c r="U8" s="1" t="s">
        <v>28</v>
      </c>
      <c r="W8" s="1" t="s">
        <v>29</v>
      </c>
      <c r="X8" s="1" t="s">
        <v>29</v>
      </c>
      <c r="Y8" s="1" t="s">
        <v>29</v>
      </c>
      <c r="Z8" s="1" t="s">
        <v>29</v>
      </c>
      <c r="AA8" s="1" t="s">
        <v>29</v>
      </c>
      <c r="AB8" s="1" t="s">
        <v>29</v>
      </c>
      <c r="AC8" s="1" t="s">
        <v>28</v>
      </c>
      <c r="AD8" s="31" t="s">
        <v>28</v>
      </c>
      <c r="AH8" s="1" t="s">
        <v>28</v>
      </c>
      <c r="AI8" s="1" t="s">
        <v>28</v>
      </c>
      <c r="AJ8" s="14"/>
      <c r="AK8" s="14"/>
      <c r="AL8" s="14"/>
      <c r="AM8" s="1" t="s">
        <v>28</v>
      </c>
    </row>
    <row r="9" spans="1:40" x14ac:dyDescent="0.7">
      <c r="B9" s="1" t="s">
        <v>179</v>
      </c>
      <c r="C9" s="14" t="s">
        <v>180</v>
      </c>
      <c r="D9" s="1" t="s">
        <v>40</v>
      </c>
      <c r="E9" s="14">
        <f t="shared" si="0"/>
        <v>9</v>
      </c>
      <c r="F9" s="14">
        <f t="shared" si="1"/>
        <v>13</v>
      </c>
      <c r="G9" s="1" t="s">
        <v>28</v>
      </c>
      <c r="H9" s="1" t="s">
        <v>28</v>
      </c>
      <c r="I9" s="1" t="s">
        <v>28</v>
      </c>
      <c r="N9" s="14"/>
      <c r="O9" s="1" t="s">
        <v>29</v>
      </c>
      <c r="R9" s="1" t="s">
        <v>28</v>
      </c>
      <c r="V9" s="1" t="s">
        <v>28</v>
      </c>
      <c r="X9" s="1" t="s">
        <v>29</v>
      </c>
      <c r="Z9" s="1" t="s">
        <v>29</v>
      </c>
      <c r="AB9" s="1" t="s">
        <v>29</v>
      </c>
      <c r="AC9" s="1" t="s">
        <v>28</v>
      </c>
      <c r="AD9" s="31"/>
      <c r="AI9" s="1" t="s">
        <v>28</v>
      </c>
      <c r="AJ9" s="14"/>
      <c r="AK9" s="14" t="s">
        <v>28</v>
      </c>
      <c r="AL9" s="14"/>
      <c r="AM9" s="1" t="s">
        <v>28</v>
      </c>
    </row>
    <row r="10" spans="1:40" x14ac:dyDescent="0.7">
      <c r="B10" s="1" t="s">
        <v>181</v>
      </c>
      <c r="C10" s="14" t="s">
        <v>182</v>
      </c>
      <c r="D10" s="1" t="s">
        <v>40</v>
      </c>
      <c r="E10" s="14">
        <f t="shared" si="0"/>
        <v>10</v>
      </c>
      <c r="F10" s="14">
        <f t="shared" si="1"/>
        <v>16</v>
      </c>
      <c r="G10" s="1" t="s">
        <v>28</v>
      </c>
      <c r="H10" s="1" t="s">
        <v>28</v>
      </c>
      <c r="I10" s="1" t="s">
        <v>28</v>
      </c>
      <c r="N10" s="14"/>
      <c r="O10" s="1" t="s">
        <v>29</v>
      </c>
      <c r="R10" s="1" t="s">
        <v>28</v>
      </c>
      <c r="U10" s="1" t="s">
        <v>28</v>
      </c>
      <c r="V10" s="1" t="s">
        <v>28</v>
      </c>
      <c r="W10" s="1" t="s">
        <v>29</v>
      </c>
      <c r="X10" s="1" t="s">
        <v>29</v>
      </c>
      <c r="Y10" s="1" t="s">
        <v>29</v>
      </c>
      <c r="Z10" s="1" t="s">
        <v>29</v>
      </c>
      <c r="AB10" s="1" t="s">
        <v>29</v>
      </c>
      <c r="AC10" s="1" t="s">
        <v>28</v>
      </c>
      <c r="AD10" s="31"/>
      <c r="AI10" s="1" t="s">
        <v>28</v>
      </c>
      <c r="AJ10" s="14"/>
      <c r="AK10" s="14" t="s">
        <v>28</v>
      </c>
      <c r="AL10" s="14"/>
      <c r="AM10" s="1" t="s">
        <v>28</v>
      </c>
    </row>
    <row r="11" spans="1:40" x14ac:dyDescent="0.7">
      <c r="B11" s="1" t="s">
        <v>183</v>
      </c>
      <c r="C11" s="14" t="s">
        <v>184</v>
      </c>
      <c r="D11" s="1" t="s">
        <v>47</v>
      </c>
      <c r="E11" s="14">
        <f t="shared" si="0"/>
        <v>10</v>
      </c>
      <c r="F11" s="14">
        <f t="shared" si="1"/>
        <v>18</v>
      </c>
      <c r="G11" s="1" t="s">
        <v>28</v>
      </c>
      <c r="H11" s="1" t="s">
        <v>28</v>
      </c>
      <c r="I11" s="1" t="s">
        <v>28</v>
      </c>
      <c r="N11" s="14"/>
      <c r="O11" s="1" t="s">
        <v>29</v>
      </c>
      <c r="R11" s="1" t="s">
        <v>28</v>
      </c>
      <c r="S11" s="1" t="s">
        <v>29</v>
      </c>
      <c r="U11" s="1" t="s">
        <v>28</v>
      </c>
      <c r="V11" s="1" t="s">
        <v>28</v>
      </c>
      <c r="W11" s="1" t="s">
        <v>29</v>
      </c>
      <c r="X11" s="1" t="s">
        <v>29</v>
      </c>
      <c r="Y11" s="1" t="s">
        <v>29</v>
      </c>
      <c r="Z11" s="1" t="s">
        <v>29</v>
      </c>
      <c r="AB11" s="1" t="s">
        <v>29</v>
      </c>
      <c r="AC11" s="1" t="s">
        <v>28</v>
      </c>
      <c r="AD11" s="31"/>
      <c r="AE11" s="1" t="s">
        <v>29</v>
      </c>
      <c r="AI11" s="1" t="s">
        <v>28</v>
      </c>
      <c r="AJ11" s="14"/>
      <c r="AK11" s="14"/>
      <c r="AL11" s="14"/>
      <c r="AM11" s="1" t="s">
        <v>28</v>
      </c>
      <c r="AN11" s="1" t="s">
        <v>28</v>
      </c>
    </row>
    <row r="12" spans="1:40" x14ac:dyDescent="0.7">
      <c r="B12" s="1" t="s">
        <v>185</v>
      </c>
      <c r="C12" s="14" t="s">
        <v>186</v>
      </c>
      <c r="D12" s="1" t="s">
        <v>47</v>
      </c>
      <c r="E12" s="14">
        <f t="shared" si="0"/>
        <v>10</v>
      </c>
      <c r="F12" s="14">
        <f t="shared" si="1"/>
        <v>18</v>
      </c>
      <c r="G12" s="1" t="s">
        <v>28</v>
      </c>
      <c r="H12" s="1" t="s">
        <v>28</v>
      </c>
      <c r="I12" s="1" t="s">
        <v>28</v>
      </c>
      <c r="N12" s="14"/>
      <c r="O12" s="1" t="s">
        <v>29</v>
      </c>
      <c r="R12" s="1" t="s">
        <v>28</v>
      </c>
      <c r="S12" s="1" t="s">
        <v>29</v>
      </c>
      <c r="U12" s="1" t="s">
        <v>28</v>
      </c>
      <c r="V12" s="1" t="s">
        <v>28</v>
      </c>
      <c r="W12" s="1" t="s">
        <v>29</v>
      </c>
      <c r="X12" s="1" t="s">
        <v>29</v>
      </c>
      <c r="Y12" s="1" t="s">
        <v>29</v>
      </c>
      <c r="Z12" s="1" t="s">
        <v>29</v>
      </c>
      <c r="AB12" s="1" t="s">
        <v>29</v>
      </c>
      <c r="AC12" s="1" t="s">
        <v>28</v>
      </c>
      <c r="AD12" s="31"/>
      <c r="AE12" s="1" t="s">
        <v>29</v>
      </c>
      <c r="AI12" s="1" t="s">
        <v>28</v>
      </c>
      <c r="AJ12" s="14"/>
      <c r="AK12" s="14" t="s">
        <v>28</v>
      </c>
      <c r="AL12" s="14"/>
      <c r="AM12" s="1" t="s">
        <v>28</v>
      </c>
    </row>
    <row r="13" spans="1:40" x14ac:dyDescent="0.7">
      <c r="B13" s="1" t="s">
        <v>187</v>
      </c>
      <c r="C13" s="14" t="s">
        <v>188</v>
      </c>
      <c r="D13" s="1" t="s">
        <v>47</v>
      </c>
      <c r="E13" s="14">
        <f t="shared" si="0"/>
        <v>11</v>
      </c>
      <c r="F13" s="14">
        <f t="shared" si="1"/>
        <v>19</v>
      </c>
      <c r="G13" s="1" t="s">
        <v>28</v>
      </c>
      <c r="H13" s="1" t="s">
        <v>28</v>
      </c>
      <c r="I13" s="1" t="s">
        <v>28</v>
      </c>
      <c r="N13" s="14"/>
      <c r="O13" s="1" t="s">
        <v>29</v>
      </c>
      <c r="R13" s="1" t="s">
        <v>28</v>
      </c>
      <c r="S13" s="1" t="s">
        <v>29</v>
      </c>
      <c r="U13" s="1" t="s">
        <v>28</v>
      </c>
      <c r="V13" s="1" t="s">
        <v>28</v>
      </c>
      <c r="W13" s="1" t="s">
        <v>29</v>
      </c>
      <c r="X13" s="1" t="s">
        <v>29</v>
      </c>
      <c r="Y13" s="1" t="s">
        <v>29</v>
      </c>
      <c r="Z13" s="1" t="s">
        <v>29</v>
      </c>
      <c r="AB13" s="1" t="s">
        <v>29</v>
      </c>
      <c r="AC13" s="1" t="s">
        <v>28</v>
      </c>
      <c r="AD13" s="31"/>
      <c r="AE13" s="1" t="s">
        <v>29</v>
      </c>
      <c r="AI13" s="1" t="s">
        <v>28</v>
      </c>
      <c r="AJ13" s="14"/>
      <c r="AK13" s="14" t="s">
        <v>28</v>
      </c>
      <c r="AL13" s="14"/>
      <c r="AM13" s="1" t="s">
        <v>28</v>
      </c>
      <c r="AN13" s="1" t="s">
        <v>28</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ADB05-1729-4F61-8437-2A2A11E5F49B}">
  <dimension ref="A2:CE20"/>
  <sheetViews>
    <sheetView workbookViewId="0">
      <selection activeCell="CG12" sqref="CG12"/>
    </sheetView>
  </sheetViews>
  <sheetFormatPr defaultColWidth="9.15625" defaultRowHeight="18.3" x14ac:dyDescent="0.7"/>
  <cols>
    <col min="1" max="1" width="8" style="6" bestFit="1" customWidth="1"/>
    <col min="2" max="2" width="56.15625" style="6" customWidth="1"/>
    <col min="3" max="3" width="19.15625" style="6" customWidth="1"/>
    <col min="4" max="4" width="21.15625" style="6" customWidth="1"/>
    <col min="5" max="5" width="18" style="6" customWidth="1"/>
    <col min="6" max="6" width="23.41796875" style="6" customWidth="1"/>
    <col min="7" max="8" width="8.68359375" style="6" hidden="1" customWidth="1"/>
    <col min="9" max="9" width="28.578125" style="6" customWidth="1"/>
    <col min="10" max="10" width="68.15625" style="6" customWidth="1"/>
    <col min="11" max="11" width="19.15625" style="6" customWidth="1"/>
    <col min="12" max="12" width="18.15625" style="6" hidden="1" customWidth="1"/>
    <col min="13" max="13" width="24.68359375" style="6" hidden="1" customWidth="1"/>
    <col min="14" max="14" width="32.83984375" style="6" hidden="1" customWidth="1"/>
    <col min="15" max="15" width="33.15625" style="6" hidden="1" customWidth="1"/>
    <col min="16" max="16" width="16.15625" style="6" hidden="1" customWidth="1"/>
    <col min="17" max="17" width="26.578125" style="6" hidden="1" customWidth="1"/>
    <col min="18" max="18" width="23.41796875" style="6" hidden="1" customWidth="1"/>
    <col min="19" max="19" width="12.68359375" style="6" hidden="1" customWidth="1"/>
    <col min="20" max="20" width="43" style="6" hidden="1" customWidth="1"/>
    <col min="21" max="21" width="42.41796875" style="6" hidden="1" customWidth="1"/>
    <col min="22" max="22" width="15.83984375" style="6" hidden="1" customWidth="1"/>
    <col min="23" max="23" width="19" style="6" hidden="1" customWidth="1"/>
    <col min="24" max="25" width="27" style="6" hidden="1" customWidth="1"/>
    <col min="26" max="26" width="30.83984375" style="6" customWidth="1"/>
    <col min="27" max="27" width="25.15625" style="6" hidden="1" customWidth="1"/>
    <col min="28" max="28" width="31.83984375" style="6" customWidth="1"/>
    <col min="29" max="29" width="31" style="6" hidden="1" customWidth="1"/>
    <col min="30" max="30" width="8.68359375" style="6" hidden="1" customWidth="1"/>
    <col min="31" max="31" width="23" style="6" hidden="1" customWidth="1"/>
    <col min="32" max="32" width="24.68359375" style="6" hidden="1" customWidth="1"/>
    <col min="33" max="33" width="52.15625" style="6" hidden="1" customWidth="1"/>
    <col min="34" max="34" width="25" style="6" hidden="1" customWidth="1"/>
    <col min="35" max="35" width="28" style="6" hidden="1" customWidth="1"/>
    <col min="36" max="36" width="27.83984375" style="6" hidden="1" customWidth="1"/>
    <col min="37" max="37" width="24.578125" style="6" hidden="1" customWidth="1"/>
    <col min="38" max="38" width="24.41796875" style="6" hidden="1" customWidth="1"/>
    <col min="39" max="39" width="37" style="6" hidden="1" customWidth="1"/>
    <col min="40" max="40" width="13.83984375" style="6" hidden="1" customWidth="1"/>
    <col min="41" max="41" width="10.578125" style="6" hidden="1" customWidth="1"/>
    <col min="42" max="42" width="4.68359375" style="6" hidden="1" customWidth="1"/>
    <col min="43" max="43" width="22.68359375" style="6" hidden="1" customWidth="1"/>
    <col min="44" max="44" width="5.15625" style="6" hidden="1" customWidth="1"/>
    <col min="45" max="45" width="26" style="6" customWidth="1"/>
    <col min="46" max="47" width="16.68359375" style="6" hidden="1" customWidth="1"/>
    <col min="48" max="48" width="9.15625" style="6" hidden="1" customWidth="1"/>
    <col min="49" max="49" width="45.15625" style="6" customWidth="1"/>
    <col min="50" max="50" width="22.41796875" style="6" hidden="1" customWidth="1"/>
    <col min="51" max="51" width="27.578125" style="6" hidden="1" customWidth="1"/>
    <col min="52" max="52" width="19.15625" style="6" customWidth="1"/>
    <col min="53" max="53" width="45.68359375" style="6" hidden="1" customWidth="1"/>
    <col min="54" max="58" width="20" style="6" hidden="1" customWidth="1"/>
    <col min="59" max="59" width="3.83984375" style="6" hidden="1" customWidth="1"/>
    <col min="60" max="60" width="68.578125" style="6" customWidth="1"/>
    <col min="61" max="61" width="30.68359375" style="6" customWidth="1"/>
    <col min="62" max="62" width="22.578125" style="6" hidden="1" customWidth="1"/>
    <col min="63" max="63" width="22.68359375" style="6" hidden="1" customWidth="1"/>
    <col min="64" max="64" width="46" style="6" hidden="1" customWidth="1"/>
    <col min="65" max="65" width="32.68359375" style="6" hidden="1" customWidth="1"/>
    <col min="66" max="66" width="30.83984375" style="6" bestFit="1" customWidth="1"/>
    <col min="67" max="67" width="19.83984375" style="6" hidden="1" customWidth="1"/>
    <col min="68" max="68" width="22.15625" style="6" hidden="1" customWidth="1"/>
    <col min="69" max="69" width="26.83984375" style="6" hidden="1" customWidth="1"/>
    <col min="70" max="70" width="33.41796875" style="6" hidden="1" customWidth="1"/>
    <col min="71" max="71" width="19.41796875" style="6" hidden="1" customWidth="1"/>
    <col min="72" max="72" width="38.68359375" style="6" hidden="1" customWidth="1"/>
    <col min="73" max="73" width="27.41796875" style="6" hidden="1" customWidth="1"/>
    <col min="74" max="74" width="15.83984375" style="6" hidden="1" customWidth="1"/>
    <col min="75" max="75" width="21" style="6" hidden="1" customWidth="1"/>
    <col min="76" max="76" width="9.578125" style="6" hidden="1" customWidth="1"/>
    <col min="77" max="77" width="12.41796875" style="6" hidden="1" customWidth="1"/>
    <col min="78" max="78" width="33.15625" style="6" hidden="1" customWidth="1"/>
    <col min="79" max="79" width="15.578125" style="6" hidden="1" customWidth="1"/>
    <col min="80" max="80" width="50.68359375" style="6" hidden="1" customWidth="1"/>
    <col min="81" max="81" width="41.15625" style="6" hidden="1" customWidth="1"/>
    <col min="82" max="82" width="62.578125" style="6" hidden="1" customWidth="1"/>
    <col min="83" max="83" width="32.68359375" style="6" hidden="1" customWidth="1"/>
    <col min="84" max="16384" width="9.15625" style="6"/>
  </cols>
  <sheetData>
    <row r="2" spans="1:83" s="2" customFormat="1" x14ac:dyDescent="0.7">
      <c r="A2" s="2" t="s">
        <v>1</v>
      </c>
      <c r="B2" s="2" t="s">
        <v>2</v>
      </c>
      <c r="C2" s="2" t="s">
        <v>189</v>
      </c>
      <c r="D2" s="2" t="s">
        <v>4</v>
      </c>
      <c r="E2" s="2" t="s">
        <v>5</v>
      </c>
      <c r="F2" s="2" t="s">
        <v>6</v>
      </c>
      <c r="G2" s="3" t="s">
        <v>149</v>
      </c>
      <c r="H2" s="3" t="s">
        <v>150</v>
      </c>
      <c r="I2" s="3" t="s">
        <v>190</v>
      </c>
      <c r="J2" s="3" t="s">
        <v>191</v>
      </c>
      <c r="K2" s="3" t="s">
        <v>192</v>
      </c>
      <c r="L2" s="3" t="s">
        <v>193</v>
      </c>
      <c r="M2" s="3" t="s">
        <v>194</v>
      </c>
      <c r="N2" s="3" t="s">
        <v>195</v>
      </c>
      <c r="O2" s="3" t="s">
        <v>196</v>
      </c>
      <c r="P2" s="3" t="s">
        <v>151</v>
      </c>
      <c r="Q2" s="3" t="s">
        <v>152</v>
      </c>
      <c r="R2" s="3" t="s">
        <v>99</v>
      </c>
      <c r="S2" s="3" t="s">
        <v>197</v>
      </c>
      <c r="T2" s="3" t="s">
        <v>198</v>
      </c>
      <c r="U2" s="3" t="s">
        <v>199</v>
      </c>
      <c r="V2" s="3" t="s">
        <v>200</v>
      </c>
      <c r="W2" s="3" t="s">
        <v>201</v>
      </c>
      <c r="X2" s="3" t="s">
        <v>202</v>
      </c>
      <c r="Y2" s="3" t="s">
        <v>8</v>
      </c>
      <c r="Z2" s="3" t="s">
        <v>203</v>
      </c>
      <c r="AA2" s="3" t="s">
        <v>9</v>
      </c>
      <c r="AB2" s="3" t="s">
        <v>204</v>
      </c>
      <c r="AC2" s="3" t="s">
        <v>10</v>
      </c>
      <c r="AD2" s="3" t="s">
        <v>100</v>
      </c>
      <c r="AE2" s="3" t="s">
        <v>205</v>
      </c>
      <c r="AF2" s="3" t="s">
        <v>206</v>
      </c>
      <c r="AG2" s="3" t="s">
        <v>207</v>
      </c>
      <c r="AH2" s="3" t="s">
        <v>208</v>
      </c>
      <c r="AI2" s="3" t="s">
        <v>209</v>
      </c>
      <c r="AJ2" s="3" t="s">
        <v>210</v>
      </c>
      <c r="AK2" s="3" t="s">
        <v>211</v>
      </c>
      <c r="AL2" s="3" t="s">
        <v>212</v>
      </c>
      <c r="AM2" s="3" t="s">
        <v>213</v>
      </c>
      <c r="AN2" s="3" t="s">
        <v>68</v>
      </c>
      <c r="AO2" s="3" t="s">
        <v>214</v>
      </c>
      <c r="AP2" s="3" t="s">
        <v>215</v>
      </c>
      <c r="AQ2" s="3" t="s">
        <v>216</v>
      </c>
      <c r="AR2" s="3" t="s">
        <v>156</v>
      </c>
      <c r="AS2" s="3" t="s">
        <v>217</v>
      </c>
      <c r="AT2" s="3" t="s">
        <v>12</v>
      </c>
      <c r="AU2" s="3" t="s">
        <v>13</v>
      </c>
      <c r="AV2" s="3" t="s">
        <v>218</v>
      </c>
      <c r="AW2" s="3" t="s">
        <v>219</v>
      </c>
      <c r="AX2" s="3" t="s">
        <v>220</v>
      </c>
      <c r="AY2" s="3" t="s">
        <v>162</v>
      </c>
      <c r="AZ2" s="3" t="s">
        <v>14</v>
      </c>
      <c r="BA2" s="3" t="s">
        <v>110</v>
      </c>
      <c r="BB2" s="3" t="s">
        <v>221</v>
      </c>
      <c r="BC2" s="3" t="s">
        <v>15</v>
      </c>
      <c r="BD2" s="3" t="s">
        <v>16</v>
      </c>
      <c r="BE2" s="3" t="s">
        <v>17</v>
      </c>
      <c r="BF2" s="3" t="s">
        <v>18</v>
      </c>
      <c r="BG2" s="3" t="s">
        <v>19</v>
      </c>
      <c r="BH2" s="3" t="s">
        <v>222</v>
      </c>
      <c r="BI2" s="3" t="s">
        <v>223</v>
      </c>
      <c r="BJ2" s="3" t="s">
        <v>224</v>
      </c>
      <c r="BK2" s="3" t="s">
        <v>225</v>
      </c>
      <c r="BL2" s="3" t="s">
        <v>226</v>
      </c>
      <c r="BM2" s="3" t="s">
        <v>20</v>
      </c>
      <c r="BN2" s="11" t="s">
        <v>227</v>
      </c>
      <c r="BO2" s="3" t="s">
        <v>21</v>
      </c>
      <c r="BP2" s="3" t="s">
        <v>228</v>
      </c>
      <c r="BQ2" s="3" t="s">
        <v>22</v>
      </c>
      <c r="BR2" s="3" t="s">
        <v>164</v>
      </c>
      <c r="BS2" s="3" t="s">
        <v>23</v>
      </c>
      <c r="BT2" s="3" t="s">
        <v>229</v>
      </c>
      <c r="BU2" s="3" t="s">
        <v>165</v>
      </c>
      <c r="BV2" s="3" t="s">
        <v>230</v>
      </c>
      <c r="BW2" s="3" t="s">
        <v>231</v>
      </c>
      <c r="BX2" s="3" t="s">
        <v>24</v>
      </c>
      <c r="BY2" s="3" t="s">
        <v>232</v>
      </c>
      <c r="BZ2" s="3" t="s">
        <v>111</v>
      </c>
      <c r="CA2" s="3" t="s">
        <v>233</v>
      </c>
      <c r="CB2" s="3" t="s">
        <v>234</v>
      </c>
      <c r="CC2" s="3" t="s">
        <v>166</v>
      </c>
      <c r="CD2" s="3" t="s">
        <v>235</v>
      </c>
      <c r="CE2" s="3" t="s">
        <v>236</v>
      </c>
    </row>
    <row r="3" spans="1:83" x14ac:dyDescent="0.7">
      <c r="A3" s="5" t="s">
        <v>237</v>
      </c>
      <c r="B3" s="6" t="s">
        <v>72</v>
      </c>
      <c r="C3" s="9" t="s">
        <v>238</v>
      </c>
      <c r="D3" s="6" t="s">
        <v>239</v>
      </c>
      <c r="E3" s="6">
        <f>COUNTIF(F3:AAF3,"Public")</f>
        <v>11</v>
      </c>
      <c r="F3" s="10" t="s">
        <v>240</v>
      </c>
      <c r="I3" s="6" t="s">
        <v>241</v>
      </c>
      <c r="J3" s="6" t="s">
        <v>241</v>
      </c>
      <c r="K3" s="6" t="s">
        <v>241</v>
      </c>
      <c r="Z3" s="6" t="s">
        <v>241</v>
      </c>
      <c r="AB3" s="6" t="s">
        <v>241</v>
      </c>
      <c r="AS3" s="6" t="s">
        <v>241</v>
      </c>
      <c r="AW3" s="6" t="s">
        <v>241</v>
      </c>
      <c r="AZ3" s="6" t="s">
        <v>241</v>
      </c>
      <c r="BH3" s="6" t="s">
        <v>241</v>
      </c>
      <c r="BI3" s="6" t="s">
        <v>241</v>
      </c>
      <c r="BN3" s="6" t="s">
        <v>241</v>
      </c>
    </row>
    <row r="4" spans="1:83" x14ac:dyDescent="0.7">
      <c r="B4" s="6" t="s">
        <v>242</v>
      </c>
      <c r="C4" s="9" t="s">
        <v>243</v>
      </c>
      <c r="D4" s="6" t="s">
        <v>239</v>
      </c>
      <c r="E4" s="6">
        <f t="shared" ref="E4:E13" si="0">COUNTIF(F4:AAF4,"Public")</f>
        <v>11</v>
      </c>
      <c r="F4" s="10" t="s">
        <v>240</v>
      </c>
      <c r="I4" s="6" t="s">
        <v>241</v>
      </c>
      <c r="J4" s="6" t="s">
        <v>241</v>
      </c>
      <c r="K4" s="6" t="s">
        <v>241</v>
      </c>
      <c r="Z4" s="6" t="s">
        <v>241</v>
      </c>
      <c r="AB4" s="6" t="s">
        <v>241</v>
      </c>
      <c r="AS4" s="6" t="s">
        <v>241</v>
      </c>
      <c r="AW4" s="6" t="s">
        <v>241</v>
      </c>
      <c r="AZ4" s="6" t="s">
        <v>241</v>
      </c>
      <c r="BH4" s="6" t="s">
        <v>241</v>
      </c>
      <c r="BI4" s="6" t="s">
        <v>241</v>
      </c>
      <c r="BN4" s="6" t="s">
        <v>241</v>
      </c>
    </row>
    <row r="5" spans="1:83" x14ac:dyDescent="0.7">
      <c r="B5" s="6" t="s">
        <v>74</v>
      </c>
      <c r="C5" s="9" t="s">
        <v>244</v>
      </c>
      <c r="D5" s="6" t="s">
        <v>239</v>
      </c>
      <c r="E5" s="6">
        <f t="shared" si="0"/>
        <v>11</v>
      </c>
      <c r="F5" s="10" t="s">
        <v>240</v>
      </c>
      <c r="I5" s="6" t="s">
        <v>241</v>
      </c>
      <c r="J5" s="6" t="s">
        <v>241</v>
      </c>
      <c r="K5" s="6" t="s">
        <v>241</v>
      </c>
      <c r="Z5" s="6" t="s">
        <v>241</v>
      </c>
      <c r="AB5" s="6" t="s">
        <v>241</v>
      </c>
      <c r="AS5" s="6" t="s">
        <v>241</v>
      </c>
      <c r="AW5" s="6" t="s">
        <v>241</v>
      </c>
      <c r="AZ5" s="6" t="s">
        <v>241</v>
      </c>
      <c r="BH5" s="6" t="s">
        <v>241</v>
      </c>
      <c r="BI5" s="6" t="s">
        <v>241</v>
      </c>
      <c r="BN5" s="6" t="s">
        <v>241</v>
      </c>
    </row>
    <row r="6" spans="1:83" x14ac:dyDescent="0.7">
      <c r="B6" s="6" t="s">
        <v>245</v>
      </c>
      <c r="C6" s="9" t="s">
        <v>246</v>
      </c>
      <c r="D6" s="6" t="s">
        <v>239</v>
      </c>
      <c r="E6" s="6">
        <f t="shared" si="0"/>
        <v>11</v>
      </c>
      <c r="F6" s="10" t="s">
        <v>240</v>
      </c>
      <c r="I6" s="6" t="s">
        <v>241</v>
      </c>
      <c r="J6" s="6" t="s">
        <v>241</v>
      </c>
      <c r="K6" s="6" t="s">
        <v>241</v>
      </c>
      <c r="Z6" s="6" t="s">
        <v>241</v>
      </c>
      <c r="AB6" s="6" t="s">
        <v>241</v>
      </c>
      <c r="AS6" s="6" t="s">
        <v>241</v>
      </c>
      <c r="AW6" s="6" t="s">
        <v>241</v>
      </c>
      <c r="AZ6" s="6" t="s">
        <v>241</v>
      </c>
      <c r="BH6" s="6" t="s">
        <v>241</v>
      </c>
      <c r="BI6" s="6" t="s">
        <v>241</v>
      </c>
      <c r="BN6" s="6" t="s">
        <v>241</v>
      </c>
    </row>
    <row r="7" spans="1:83" x14ac:dyDescent="0.7">
      <c r="B7" s="6" t="s">
        <v>76</v>
      </c>
      <c r="C7" s="9" t="s">
        <v>247</v>
      </c>
      <c r="D7" s="6" t="s">
        <v>239</v>
      </c>
      <c r="E7" s="6">
        <f t="shared" si="0"/>
        <v>11</v>
      </c>
      <c r="F7" s="10" t="s">
        <v>240</v>
      </c>
      <c r="I7" s="6" t="s">
        <v>241</v>
      </c>
      <c r="J7" s="6" t="s">
        <v>241</v>
      </c>
      <c r="K7" s="6" t="s">
        <v>241</v>
      </c>
      <c r="Z7" s="6" t="s">
        <v>241</v>
      </c>
      <c r="AB7" s="6" t="s">
        <v>241</v>
      </c>
      <c r="AS7" s="6" t="s">
        <v>241</v>
      </c>
      <c r="AW7" s="6" t="s">
        <v>241</v>
      </c>
      <c r="AZ7" s="6" t="s">
        <v>241</v>
      </c>
      <c r="BH7" s="6" t="s">
        <v>241</v>
      </c>
      <c r="BI7" s="6" t="s">
        <v>241</v>
      </c>
      <c r="BN7" s="6" t="s">
        <v>241</v>
      </c>
    </row>
    <row r="8" spans="1:83" x14ac:dyDescent="0.7">
      <c r="B8" s="6" t="s">
        <v>78</v>
      </c>
      <c r="C8" s="9" t="s">
        <v>248</v>
      </c>
      <c r="D8" s="6" t="s">
        <v>33</v>
      </c>
      <c r="E8" s="6">
        <f t="shared" si="0"/>
        <v>11</v>
      </c>
      <c r="F8" s="10" t="s">
        <v>240</v>
      </c>
      <c r="I8" s="6" t="s">
        <v>241</v>
      </c>
      <c r="J8" s="6" t="s">
        <v>241</v>
      </c>
      <c r="K8" s="6" t="s">
        <v>241</v>
      </c>
      <c r="Z8" s="6" t="s">
        <v>241</v>
      </c>
      <c r="AB8" s="6" t="s">
        <v>241</v>
      </c>
      <c r="AS8" s="6" t="s">
        <v>241</v>
      </c>
      <c r="AW8" s="6" t="s">
        <v>241</v>
      </c>
      <c r="AZ8" s="6" t="s">
        <v>241</v>
      </c>
      <c r="BH8" s="6" t="s">
        <v>241</v>
      </c>
      <c r="BI8" s="6" t="s">
        <v>241</v>
      </c>
      <c r="BN8" s="6" t="s">
        <v>241</v>
      </c>
    </row>
    <row r="9" spans="1:83" x14ac:dyDescent="0.7">
      <c r="B9" s="6" t="s">
        <v>80</v>
      </c>
      <c r="C9" s="9" t="s">
        <v>249</v>
      </c>
      <c r="D9" s="6" t="s">
        <v>33</v>
      </c>
      <c r="E9" s="6">
        <f t="shared" si="0"/>
        <v>11</v>
      </c>
      <c r="F9" s="10" t="s">
        <v>240</v>
      </c>
      <c r="I9" s="6" t="s">
        <v>241</v>
      </c>
      <c r="J9" s="6" t="s">
        <v>241</v>
      </c>
      <c r="K9" s="6" t="s">
        <v>241</v>
      </c>
      <c r="Z9" s="6" t="s">
        <v>241</v>
      </c>
      <c r="AB9" s="6" t="s">
        <v>241</v>
      </c>
      <c r="AS9" s="6" t="s">
        <v>241</v>
      </c>
      <c r="AW9" s="6" t="s">
        <v>241</v>
      </c>
      <c r="AZ9" s="6" t="s">
        <v>241</v>
      </c>
      <c r="BH9" s="6" t="s">
        <v>241</v>
      </c>
      <c r="BI9" s="6" t="s">
        <v>241</v>
      </c>
      <c r="BN9" s="6" t="s">
        <v>241</v>
      </c>
    </row>
    <row r="10" spans="1:83" x14ac:dyDescent="0.7">
      <c r="B10" s="6" t="s">
        <v>250</v>
      </c>
      <c r="C10" s="9" t="s">
        <v>251</v>
      </c>
      <c r="D10" s="6" t="s">
        <v>33</v>
      </c>
      <c r="E10" s="6">
        <f t="shared" si="0"/>
        <v>11</v>
      </c>
      <c r="F10" s="10" t="s">
        <v>240</v>
      </c>
      <c r="I10" s="6" t="s">
        <v>241</v>
      </c>
      <c r="J10" s="6" t="s">
        <v>241</v>
      </c>
      <c r="K10" s="6" t="s">
        <v>241</v>
      </c>
      <c r="Z10" s="6" t="s">
        <v>241</v>
      </c>
      <c r="AB10" s="6" t="s">
        <v>241</v>
      </c>
      <c r="AS10" s="6" t="s">
        <v>241</v>
      </c>
      <c r="AW10" s="6" t="s">
        <v>241</v>
      </c>
      <c r="AZ10" s="6" t="s">
        <v>241</v>
      </c>
      <c r="BH10" s="6" t="s">
        <v>241</v>
      </c>
      <c r="BI10" s="6" t="s">
        <v>241</v>
      </c>
      <c r="BN10" s="6" t="s">
        <v>241</v>
      </c>
    </row>
    <row r="11" spans="1:83" x14ac:dyDescent="0.7">
      <c r="B11" s="6" t="s">
        <v>252</v>
      </c>
      <c r="C11" s="9" t="s">
        <v>253</v>
      </c>
      <c r="D11" s="6" t="s">
        <v>33</v>
      </c>
      <c r="E11" s="6">
        <f t="shared" si="0"/>
        <v>11</v>
      </c>
      <c r="F11" s="10" t="s">
        <v>240</v>
      </c>
      <c r="I11" s="6" t="s">
        <v>241</v>
      </c>
      <c r="J11" s="6" t="s">
        <v>241</v>
      </c>
      <c r="K11" s="6" t="s">
        <v>241</v>
      </c>
      <c r="Z11" s="6" t="s">
        <v>241</v>
      </c>
      <c r="AB11" s="6" t="s">
        <v>241</v>
      </c>
      <c r="AS11" s="6" t="s">
        <v>241</v>
      </c>
      <c r="AW11" s="6" t="s">
        <v>241</v>
      </c>
      <c r="AZ11" s="6" t="s">
        <v>241</v>
      </c>
      <c r="BH11" s="6" t="s">
        <v>241</v>
      </c>
      <c r="BI11" s="6" t="s">
        <v>241</v>
      </c>
      <c r="BN11" s="6" t="s">
        <v>241</v>
      </c>
    </row>
    <row r="12" spans="1:83" x14ac:dyDescent="0.7">
      <c r="B12" s="6" t="s">
        <v>82</v>
      </c>
      <c r="C12" s="9" t="s">
        <v>254</v>
      </c>
      <c r="D12" s="6" t="s">
        <v>33</v>
      </c>
      <c r="E12" s="6">
        <f t="shared" si="0"/>
        <v>11</v>
      </c>
      <c r="F12" s="10" t="s">
        <v>240</v>
      </c>
      <c r="I12" s="6" t="s">
        <v>241</v>
      </c>
      <c r="J12" s="6" t="s">
        <v>241</v>
      </c>
      <c r="K12" s="6" t="s">
        <v>241</v>
      </c>
      <c r="Z12" s="6" t="s">
        <v>241</v>
      </c>
      <c r="AB12" s="6" t="s">
        <v>241</v>
      </c>
      <c r="AS12" s="6" t="s">
        <v>241</v>
      </c>
      <c r="AW12" s="6" t="s">
        <v>241</v>
      </c>
      <c r="AZ12" s="6" t="s">
        <v>241</v>
      </c>
      <c r="BH12" s="6" t="s">
        <v>241</v>
      </c>
      <c r="BI12" s="6" t="s">
        <v>241</v>
      </c>
      <c r="BN12" s="6" t="s">
        <v>241</v>
      </c>
    </row>
    <row r="13" spans="1:83" x14ac:dyDescent="0.7">
      <c r="B13" s="6" t="s">
        <v>84</v>
      </c>
      <c r="C13" s="9" t="s">
        <v>255</v>
      </c>
      <c r="D13" s="6" t="s">
        <v>40</v>
      </c>
      <c r="E13" s="6">
        <f t="shared" si="0"/>
        <v>11</v>
      </c>
      <c r="F13" s="10" t="s">
        <v>240</v>
      </c>
      <c r="I13" s="6" t="s">
        <v>241</v>
      </c>
      <c r="J13" s="6" t="s">
        <v>241</v>
      </c>
      <c r="K13" s="6" t="s">
        <v>241</v>
      </c>
      <c r="Z13" s="6" t="s">
        <v>241</v>
      </c>
      <c r="AB13" s="6" t="s">
        <v>241</v>
      </c>
      <c r="AS13" s="6" t="s">
        <v>241</v>
      </c>
      <c r="AW13" s="6" t="s">
        <v>241</v>
      </c>
      <c r="AZ13" s="6" t="s">
        <v>241</v>
      </c>
      <c r="BH13" s="6" t="s">
        <v>241</v>
      </c>
      <c r="BI13" s="6" t="s">
        <v>241</v>
      </c>
      <c r="BN13" s="6" t="s">
        <v>241</v>
      </c>
    </row>
    <row r="14" spans="1:83" x14ac:dyDescent="0.7">
      <c r="B14" s="6" t="s">
        <v>86</v>
      </c>
      <c r="C14" s="9" t="s">
        <v>256</v>
      </c>
      <c r="D14" s="6" t="s">
        <v>40</v>
      </c>
      <c r="E14" s="6">
        <f t="shared" ref="E14:E20" si="1">COUNTIF(F14:AAF14,"Public")</f>
        <v>11</v>
      </c>
      <c r="F14" s="10" t="s">
        <v>240</v>
      </c>
      <c r="I14" s="6" t="s">
        <v>241</v>
      </c>
      <c r="J14" s="6" t="s">
        <v>241</v>
      </c>
      <c r="K14" s="6" t="s">
        <v>241</v>
      </c>
      <c r="Z14" s="6" t="s">
        <v>241</v>
      </c>
      <c r="AB14" s="6" t="s">
        <v>241</v>
      </c>
      <c r="AS14" s="6" t="s">
        <v>241</v>
      </c>
      <c r="AW14" s="6" t="s">
        <v>241</v>
      </c>
      <c r="AZ14" s="6" t="s">
        <v>241</v>
      </c>
      <c r="BH14" s="6" t="s">
        <v>241</v>
      </c>
      <c r="BI14" s="6" t="s">
        <v>241</v>
      </c>
      <c r="BN14" s="6" t="s">
        <v>241</v>
      </c>
    </row>
    <row r="15" spans="1:83" x14ac:dyDescent="0.7">
      <c r="B15" s="6" t="s">
        <v>88</v>
      </c>
      <c r="C15" s="9" t="s">
        <v>257</v>
      </c>
      <c r="D15" s="6" t="s">
        <v>40</v>
      </c>
      <c r="E15" s="6">
        <f t="shared" si="1"/>
        <v>11</v>
      </c>
      <c r="F15" s="10" t="s">
        <v>240</v>
      </c>
      <c r="I15" s="6" t="s">
        <v>241</v>
      </c>
      <c r="J15" s="6" t="s">
        <v>241</v>
      </c>
      <c r="K15" s="6" t="s">
        <v>241</v>
      </c>
      <c r="Z15" s="6" t="s">
        <v>241</v>
      </c>
      <c r="AB15" s="6" t="s">
        <v>241</v>
      </c>
      <c r="AS15" s="6" t="s">
        <v>241</v>
      </c>
      <c r="AW15" s="6" t="s">
        <v>241</v>
      </c>
      <c r="AZ15" s="6" t="s">
        <v>241</v>
      </c>
      <c r="BH15" s="6" t="s">
        <v>241</v>
      </c>
      <c r="BI15" s="6" t="s">
        <v>241</v>
      </c>
      <c r="BN15" s="6" t="s">
        <v>241</v>
      </c>
    </row>
    <row r="16" spans="1:83" x14ac:dyDescent="0.7">
      <c r="B16" s="6" t="s">
        <v>90</v>
      </c>
      <c r="C16" s="9" t="s">
        <v>258</v>
      </c>
      <c r="D16" s="6" t="s">
        <v>47</v>
      </c>
      <c r="E16" s="6">
        <f t="shared" si="1"/>
        <v>11</v>
      </c>
      <c r="F16" s="10" t="s">
        <v>240</v>
      </c>
      <c r="I16" s="6" t="s">
        <v>241</v>
      </c>
      <c r="J16" s="6" t="s">
        <v>241</v>
      </c>
      <c r="K16" s="6" t="s">
        <v>241</v>
      </c>
      <c r="Z16" s="6" t="s">
        <v>241</v>
      </c>
      <c r="AB16" s="6" t="s">
        <v>241</v>
      </c>
      <c r="AS16" s="6" t="s">
        <v>241</v>
      </c>
      <c r="AW16" s="6" t="s">
        <v>241</v>
      </c>
      <c r="AZ16" s="6" t="s">
        <v>241</v>
      </c>
      <c r="BH16" s="6" t="s">
        <v>241</v>
      </c>
      <c r="BI16" s="6" t="s">
        <v>241</v>
      </c>
      <c r="BN16" s="6" t="s">
        <v>241</v>
      </c>
    </row>
    <row r="17" spans="2:66" x14ac:dyDescent="0.7">
      <c r="B17" s="6" t="s">
        <v>92</v>
      </c>
      <c r="C17" s="9" t="s">
        <v>259</v>
      </c>
      <c r="D17" s="6" t="s">
        <v>47</v>
      </c>
      <c r="E17" s="6">
        <f t="shared" si="1"/>
        <v>11</v>
      </c>
      <c r="F17" s="10" t="s">
        <v>240</v>
      </c>
      <c r="I17" s="6" t="s">
        <v>241</v>
      </c>
      <c r="J17" s="6" t="s">
        <v>241</v>
      </c>
      <c r="K17" s="6" t="s">
        <v>241</v>
      </c>
      <c r="Z17" s="6" t="s">
        <v>241</v>
      </c>
      <c r="AB17" s="6" t="s">
        <v>241</v>
      </c>
      <c r="AS17" s="6" t="s">
        <v>241</v>
      </c>
      <c r="AW17" s="6" t="s">
        <v>241</v>
      </c>
      <c r="AZ17" s="6" t="s">
        <v>241</v>
      </c>
      <c r="BH17" s="6" t="s">
        <v>241</v>
      </c>
      <c r="BI17" s="6" t="s">
        <v>241</v>
      </c>
      <c r="BN17" s="6" t="s">
        <v>241</v>
      </c>
    </row>
    <row r="18" spans="2:66" x14ac:dyDescent="0.7">
      <c r="B18" s="6" t="s">
        <v>94</v>
      </c>
      <c r="C18" s="9" t="s">
        <v>260</v>
      </c>
      <c r="D18" s="6" t="s">
        <v>47</v>
      </c>
      <c r="E18" s="6">
        <f t="shared" si="1"/>
        <v>11</v>
      </c>
      <c r="F18" s="10" t="s">
        <v>240</v>
      </c>
      <c r="I18" s="6" t="s">
        <v>241</v>
      </c>
      <c r="J18" s="6" t="s">
        <v>241</v>
      </c>
      <c r="K18" s="6" t="s">
        <v>241</v>
      </c>
      <c r="Z18" s="6" t="s">
        <v>241</v>
      </c>
      <c r="AB18" s="6" t="s">
        <v>241</v>
      </c>
      <c r="AS18" s="6" t="s">
        <v>241</v>
      </c>
      <c r="AW18" s="6" t="s">
        <v>241</v>
      </c>
      <c r="AZ18" s="6" t="s">
        <v>241</v>
      </c>
      <c r="BH18" s="6" t="s">
        <v>241</v>
      </c>
      <c r="BI18" s="6" t="s">
        <v>241</v>
      </c>
      <c r="BN18" s="6" t="s">
        <v>241</v>
      </c>
    </row>
    <row r="19" spans="2:66" x14ac:dyDescent="0.7">
      <c r="B19" s="6" t="s">
        <v>261</v>
      </c>
      <c r="C19" s="9" t="s">
        <v>262</v>
      </c>
      <c r="D19" s="6" t="s">
        <v>47</v>
      </c>
      <c r="E19" s="6">
        <f t="shared" si="1"/>
        <v>11</v>
      </c>
      <c r="F19" s="10" t="s">
        <v>240</v>
      </c>
      <c r="I19" s="6" t="s">
        <v>241</v>
      </c>
      <c r="J19" s="6" t="s">
        <v>241</v>
      </c>
      <c r="K19" s="6" t="s">
        <v>241</v>
      </c>
      <c r="Z19" s="6" t="s">
        <v>241</v>
      </c>
      <c r="AB19" s="6" t="s">
        <v>241</v>
      </c>
      <c r="AS19" s="6" t="s">
        <v>241</v>
      </c>
      <c r="AW19" s="6" t="s">
        <v>241</v>
      </c>
      <c r="AZ19" s="6" t="s">
        <v>241</v>
      </c>
      <c r="BH19" s="6" t="s">
        <v>241</v>
      </c>
      <c r="BI19" s="6" t="s">
        <v>241</v>
      </c>
      <c r="BN19" s="6" t="s">
        <v>241</v>
      </c>
    </row>
    <row r="20" spans="2:66" x14ac:dyDescent="0.7">
      <c r="B20" s="6" t="s">
        <v>263</v>
      </c>
      <c r="C20" s="9" t="s">
        <v>264</v>
      </c>
      <c r="D20" s="6" t="s">
        <v>47</v>
      </c>
      <c r="E20" s="6">
        <f t="shared" si="1"/>
        <v>11</v>
      </c>
      <c r="F20" s="10" t="s">
        <v>240</v>
      </c>
      <c r="I20" s="6" t="s">
        <v>241</v>
      </c>
      <c r="J20" s="6" t="s">
        <v>241</v>
      </c>
      <c r="K20" s="6" t="s">
        <v>241</v>
      </c>
      <c r="Z20" s="6" t="s">
        <v>241</v>
      </c>
      <c r="AB20" s="6" t="s">
        <v>241</v>
      </c>
      <c r="AS20" s="6" t="s">
        <v>241</v>
      </c>
      <c r="AW20" s="6" t="s">
        <v>241</v>
      </c>
      <c r="AZ20" s="6" t="s">
        <v>241</v>
      </c>
      <c r="BH20" s="6" t="s">
        <v>241</v>
      </c>
      <c r="BI20" s="6" t="s">
        <v>241</v>
      </c>
      <c r="BN20" s="6" t="s">
        <v>241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5C21D-6B33-4D1E-A12D-A56E8057FE1C}">
  <dimension ref="B2:O23"/>
  <sheetViews>
    <sheetView workbookViewId="0">
      <selection activeCell="C11" sqref="C11"/>
    </sheetView>
  </sheetViews>
  <sheetFormatPr defaultRowHeight="14.4" x14ac:dyDescent="0.55000000000000004"/>
  <cols>
    <col min="3" max="3" width="133.578125" customWidth="1"/>
  </cols>
  <sheetData>
    <row r="2" spans="2:15" ht="18.3" x14ac:dyDescent="0.7">
      <c r="N2" s="1"/>
      <c r="O2" s="1"/>
    </row>
    <row r="3" spans="2:15" ht="18.3" x14ac:dyDescent="0.7">
      <c r="N3" s="1"/>
      <c r="O3" s="1"/>
    </row>
    <row r="4" spans="2:15" ht="100.8" x14ac:dyDescent="0.7">
      <c r="C4" s="30" t="s">
        <v>265</v>
      </c>
      <c r="N4" s="1"/>
      <c r="O4" s="1"/>
    </row>
    <row r="5" spans="2:15" ht="72.900000000000006" x14ac:dyDescent="0.7">
      <c r="C5" s="29" t="s">
        <v>266</v>
      </c>
      <c r="N5" s="1"/>
      <c r="O5" s="1"/>
    </row>
    <row r="6" spans="2:15" ht="18.3" x14ac:dyDescent="0.7">
      <c r="N6" s="1"/>
      <c r="O6" s="1"/>
    </row>
    <row r="7" spans="2:15" ht="18.3" x14ac:dyDescent="0.7">
      <c r="H7" s="1"/>
      <c r="I7" s="1"/>
      <c r="J7" s="1"/>
      <c r="K7" s="1"/>
      <c r="L7" s="1"/>
      <c r="N7" s="1"/>
      <c r="O7" s="1"/>
    </row>
    <row r="8" spans="2:15" ht="18.3" x14ac:dyDescent="0.7">
      <c r="C8" s="1"/>
      <c r="D8" s="1"/>
      <c r="E8" s="1"/>
      <c r="F8" s="1"/>
      <c r="G8" s="1"/>
      <c r="I8" s="1"/>
      <c r="J8" s="1"/>
    </row>
    <row r="9" spans="2:15" ht="18.3" x14ac:dyDescent="0.7">
      <c r="B9" s="1"/>
      <c r="C9" s="1"/>
      <c r="D9" s="1"/>
      <c r="E9" s="1"/>
      <c r="F9" s="1"/>
      <c r="G9" s="1"/>
      <c r="I9" s="1"/>
      <c r="J9" s="1"/>
    </row>
    <row r="10" spans="2:15" ht="18.3" x14ac:dyDescent="0.7">
      <c r="C10" s="1"/>
      <c r="D10" s="1"/>
      <c r="E10" s="1"/>
      <c r="F10" s="1"/>
      <c r="G10" s="1"/>
      <c r="I10" s="1"/>
      <c r="J10" s="1"/>
    </row>
    <row r="11" spans="2:15" ht="18.3" x14ac:dyDescent="0.7">
      <c r="C11" s="1"/>
      <c r="D11" s="1"/>
      <c r="E11" s="1"/>
      <c r="F11" s="1"/>
      <c r="G11" s="1"/>
      <c r="I11" s="1"/>
      <c r="J11" s="1"/>
    </row>
    <row r="12" spans="2:15" ht="18.3" x14ac:dyDescent="0.7">
      <c r="C12" s="1"/>
      <c r="D12" s="1"/>
      <c r="E12" s="1"/>
      <c r="F12" s="1"/>
      <c r="G12" s="1"/>
      <c r="I12" s="1"/>
      <c r="J12" s="1"/>
    </row>
    <row r="13" spans="2:15" ht="18.3" x14ac:dyDescent="0.7">
      <c r="C13" s="1"/>
      <c r="D13" s="1"/>
      <c r="E13" s="1"/>
      <c r="F13" s="1"/>
      <c r="G13" s="1"/>
      <c r="I13" s="1"/>
      <c r="J13" s="1"/>
    </row>
    <row r="14" spans="2:15" ht="18.3" x14ac:dyDescent="0.7">
      <c r="C14" s="1"/>
      <c r="D14" s="1"/>
      <c r="E14" s="1"/>
      <c r="F14" s="1"/>
      <c r="G14" s="1"/>
      <c r="I14" s="1"/>
      <c r="J14" s="1"/>
    </row>
    <row r="15" spans="2:15" ht="18.3" x14ac:dyDescent="0.7">
      <c r="C15" s="1"/>
      <c r="D15" s="1"/>
      <c r="E15" s="1"/>
      <c r="F15" s="1"/>
      <c r="G15" s="1"/>
      <c r="I15" s="1"/>
      <c r="J15" s="1"/>
    </row>
    <row r="16" spans="2:15" ht="18.3" x14ac:dyDescent="0.7">
      <c r="C16" s="1"/>
      <c r="D16" s="1"/>
      <c r="E16" s="1"/>
      <c r="F16" s="1"/>
      <c r="G16" s="1"/>
      <c r="I16" s="1"/>
      <c r="J16" s="1"/>
    </row>
    <row r="17" spans="3:12" ht="18.3" x14ac:dyDescent="0.7">
      <c r="C17" s="1"/>
      <c r="D17" s="1"/>
      <c r="E17" s="1"/>
      <c r="F17" s="1"/>
      <c r="G17" s="1"/>
    </row>
    <row r="18" spans="3:12" ht="18.3" x14ac:dyDescent="0.7">
      <c r="C18" s="1"/>
      <c r="D18" s="1"/>
      <c r="E18" s="1"/>
      <c r="F18" s="1"/>
      <c r="G18" s="1"/>
    </row>
    <row r="19" spans="3:12" ht="18.3" x14ac:dyDescent="0.7">
      <c r="C19" s="1"/>
      <c r="D19" s="1"/>
      <c r="E19" s="1"/>
      <c r="F19" s="1"/>
      <c r="G19" s="1"/>
      <c r="H19" s="1"/>
      <c r="I19" s="1"/>
      <c r="J19" s="1"/>
      <c r="K19" s="1"/>
      <c r="L19" s="1"/>
    </row>
    <row r="20" spans="3:12" ht="18.3" x14ac:dyDescent="0.7">
      <c r="C20" s="1"/>
      <c r="D20" s="1"/>
      <c r="E20" s="1"/>
      <c r="F20" s="1"/>
      <c r="G20" s="1"/>
      <c r="H20" s="1"/>
      <c r="I20" s="1"/>
      <c r="J20" s="1"/>
      <c r="K20" s="1"/>
      <c r="L20" s="1"/>
    </row>
    <row r="21" spans="3:12" ht="18.3" x14ac:dyDescent="0.7">
      <c r="C21" s="1"/>
      <c r="D21" s="1"/>
      <c r="E21" s="1"/>
      <c r="F21" s="1"/>
      <c r="G21" s="1"/>
      <c r="H21" s="1"/>
      <c r="I21" s="1"/>
      <c r="J21" s="1"/>
      <c r="K21" s="1"/>
      <c r="L21" s="1"/>
    </row>
    <row r="23" spans="3:12" ht="25.8" x14ac:dyDescent="0.95">
      <c r="C23" s="7"/>
      <c r="D23" s="7"/>
      <c r="E23" s="7"/>
      <c r="F23" s="7"/>
      <c r="G23" s="7"/>
      <c r="H23" s="7"/>
      <c r="I23"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vt:lpstr>
      <vt:lpstr>CA</vt:lpstr>
      <vt:lpstr>UK</vt:lpstr>
      <vt:lpstr>IE</vt:lpstr>
      <vt:lpstr>AU</vt:lpstr>
      <vt:lpstr>CA FR - May Not Be Using</vt:lpstr>
      <vt:lpstr>Guide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Chinmay.Dhala@dimensional.com</cp:lastModifiedBy>
  <cp:revision/>
  <dcterms:created xsi:type="dcterms:W3CDTF">2022-06-15T18:42:14Z</dcterms:created>
  <dcterms:modified xsi:type="dcterms:W3CDTF">2025-12-09T16:10:56Z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1f9464-2f22-408a-9c6b-8f3d07a8d7ca_Enabled">
    <vt:lpwstr>true</vt:lpwstr>
  </property>
  <property fmtid="{D5CDD505-2E9C-101B-9397-08002B2CF9AE}" pid="3" name="MSIP_Label_a61f9464-2f22-408a-9c6b-8f3d07a8d7ca_SetDate">
    <vt:lpwstr>2022-06-15T18:42:26Z</vt:lpwstr>
  </property>
  <property fmtid="{D5CDD505-2E9C-101B-9397-08002B2CF9AE}" pid="4" name="MSIP_Label_a61f9464-2f22-408a-9c6b-8f3d07a8d7ca_Method">
    <vt:lpwstr>Privileged</vt:lpwstr>
  </property>
  <property fmtid="{D5CDD505-2E9C-101B-9397-08002B2CF9AE}" pid="5" name="MSIP_Label_a61f9464-2f22-408a-9c6b-8f3d07a8d7ca_Name">
    <vt:lpwstr>Limited Access Content</vt:lpwstr>
  </property>
  <property fmtid="{D5CDD505-2E9C-101B-9397-08002B2CF9AE}" pid="6" name="MSIP_Label_a61f9464-2f22-408a-9c6b-8f3d07a8d7ca_SiteId">
    <vt:lpwstr>50488be8-ac74-4dcd-9bdd-44db35d92d8d</vt:lpwstr>
  </property>
  <property fmtid="{D5CDD505-2E9C-101B-9397-08002B2CF9AE}" pid="7" name="MSIP_Label_a61f9464-2f22-408a-9c6b-8f3d07a8d7ca_ActionId">
    <vt:lpwstr>78778d77-bf6a-4796-9baa-b9ef02d77915</vt:lpwstr>
  </property>
  <property fmtid="{D5CDD505-2E9C-101B-9397-08002B2CF9AE}" pid="8" name="MSIP_Label_a61f9464-2f22-408a-9c6b-8f3d07a8d7ca_ContentBits">
    <vt:lpwstr>1</vt:lpwstr>
  </property>
</Properties>
</file>